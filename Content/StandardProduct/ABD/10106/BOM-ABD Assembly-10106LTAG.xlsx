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olodo\Documents\SolidworksTemplates-Addin\Macros\"/>
    </mc:Choice>
  </mc:AlternateContent>
  <xr:revisionPtr revIDLastSave="0" documentId="13_ncr:1_{847CC886-1579-4D15-9A9F-D77D34512B7E}" xr6:coauthVersionLast="47" xr6:coauthVersionMax="47" xr10:uidLastSave="{00000000-0000-0000-0000-000000000000}"/>
  <bookViews>
    <workbookView xWindow="-120" yWindow="-120" windowWidth="29040" windowHeight="15720" tabRatio="791" xr2:uid="{00000000-000D-0000-FFFF-FFFF00000000}"/>
  </bookViews>
  <sheets>
    <sheet name="Project Info" sheetId="1" r:id="rId1"/>
    <sheet name="Hood Quality" sheetId="9" r:id="rId2"/>
    <sheet name="KVE WW or UV Stock Parts" sheetId="8" r:id="rId3"/>
    <sheet name="CM HOOD STD PARTS" sheetId="6" r:id="rId4"/>
    <sheet name="Change K Factors" sheetId="2" r:id="rId5"/>
    <sheet name="Change K Factors Material Data" sheetId="7" r:id="rId6"/>
    <sheet name="Set Material Name" sheetId="3" r:id="rId7"/>
    <sheet name="Change Material K Factors" sheetId="4" r:id="rId8"/>
  </sheets>
  <definedNames>
    <definedName name="_xlnm._FilterDatabase" localSheetId="2" hidden="1">'KVE WW or UV Stock Parts'!$B$14:$L$43</definedName>
    <definedName name="CheckBacthPrintWithBOM">'Project Info'!$H$2</definedName>
    <definedName name="checkBoxGA">'Project Info'!#REF!</definedName>
    <definedName name="checkBoxMM">'Project Info'!#REF!</definedName>
    <definedName name="CheckIncludeFlat">'Project Info'!$C$2</definedName>
    <definedName name="CheckInitialize" localSheetId="2">'Project Info'!#REF!</definedName>
    <definedName name="CheckInitialize">'Project Info'!$C$1</definedName>
    <definedName name="CheckToday">'Project Info'!#REF!</definedName>
    <definedName name="CKBxDXF">'Project Info'!$H$1</definedName>
    <definedName name="CkBxEdrw">'Project Info'!$G$1</definedName>
    <definedName name="CKBxJPG">'Project Info'!$J$2</definedName>
    <definedName name="CkBxPDF">'Project Info'!$G$2</definedName>
    <definedName name="ComboBoxPaperSize">'Project Info'!$L$1</definedName>
    <definedName name="ComboBoxProjectAngle">'Project Info'!$P$1</definedName>
    <definedName name="ComboBoxUnit">'Project Info'!$K$2</definedName>
    <definedName name="ComboBoxUnitSystem">'Project Info'!$K$1</definedName>
    <definedName name="ComboExcelSheetName">'Project Info'!$M$1</definedName>
    <definedName name="ComPrinter">'Project Info'!$M$2</definedName>
    <definedName name="OptionAssembly" localSheetId="2">'Project Info'!#REF!</definedName>
    <definedName name="OptionAssembly">'Project Info'!$I$1</definedName>
    <definedName name="OptionAssySetBA" localSheetId="2">'Project Info'!#REF!</definedName>
    <definedName name="OptionAssySetBA">'Project Info'!#REF!</definedName>
    <definedName name="OptionEXcel" localSheetId="2">'Project Info'!#REF!</definedName>
    <definedName name="OptionEXcel">'Project Info'!#REF!</definedName>
    <definedName name="OptionInPathName">'Project Info'!$N$1</definedName>
    <definedName name="OptionMacro" localSheetId="2">'Project Info'!#REF!</definedName>
    <definedName name="OptionMacro">'Project Info'!#REF!</definedName>
    <definedName name="OptionOneFile" localSheetId="2">'Project Info'!#REF!</definedName>
    <definedName name="OptionOneFile">'Project Info'!$I$2</definedName>
    <definedName name="OptionOneFileSetBA" localSheetId="2">'Project Info'!#REF!</definedName>
    <definedName name="OptionOneFileSetBA">'Project Info'!#REF!</definedName>
    <definedName name="OptionOpenInWindwos">'Project Info'!$N$2</definedName>
    <definedName name="OptionOutPath" localSheetId="2">'Project Info'!#REF!</definedName>
    <definedName name="OptionOutPath">'Project Info'!#REF!</definedName>
    <definedName name="OptionOutToSameFolder" localSheetId="2">'Project Info'!#REF!</definedName>
    <definedName name="OptionOutToSameFolder">'Project Info'!#REF!</definedName>
    <definedName name="OptionPlumbing" localSheetId="2">'Project Info'!#REF!</definedName>
    <definedName name="OptionPlumbing">'Project Info'!$J$1</definedName>
    <definedName name="_xlnm.Print_Area" localSheetId="3">'CM HOOD STD PARTS'!$A$1:$G$27</definedName>
    <definedName name="_xlnm.Print_Area" localSheetId="1">'Hood Quality'!$B$2:$N$48</definedName>
    <definedName name="_xlnm.Print_Area" localSheetId="2">'KVE WW or UV Stock Parts'!$B$3:$H$48</definedName>
    <definedName name="_xlnm.Print_Area" localSheetId="0">'Project Info'!$B$4:$H$27</definedName>
    <definedName name="_xlnm.Print_Titles" localSheetId="0">'Project Info'!$3:$14</definedName>
    <definedName name="TextBranchLocation">'Project Info'!$B$2</definedName>
    <definedName name="TextBy">'Project Info'!$C$5</definedName>
    <definedName name="TextCheckedBy">'Project Info'!$C$9</definedName>
    <definedName name="TextCheckList">'Project Info'!$T$1</definedName>
    <definedName name="TextCode" localSheetId="2">'Project Info'!$G$6</definedName>
    <definedName name="TextCode">'Project Info'!$G$6</definedName>
    <definedName name="TextDate">'Project Info'!$G$7</definedName>
    <definedName name="TextDxfScale" localSheetId="2">'Project Info'!#REF!</definedName>
    <definedName name="TextDxfScale">'Project Info'!$B$1</definedName>
    <definedName name="TextHemK14GASetBA" localSheetId="2">'Project Info'!#REF!</definedName>
    <definedName name="TextHemK14GASetBA">'Project Info'!#REF!</definedName>
    <definedName name="TextHemK16GASetBA" localSheetId="2">'Project Info'!#REF!</definedName>
    <definedName name="TextHemK16GASetBA">'Project Info'!#REF!</definedName>
    <definedName name="TextHemK18GASetBA" localSheetId="2">'Project Info'!#REF!</definedName>
    <definedName name="TextHemK18GASetBA">'Project Info'!#REF!</definedName>
    <definedName name="TextHemK20GASetBA" localSheetId="2">'Project Info'!#REF!</definedName>
    <definedName name="TextHemK20GASetBA">'Project Info'!#REF!</definedName>
    <definedName name="TextInPathName">'Project Info'!$E$1</definedName>
    <definedName name="TextInsideBendRadius14GASetBA" localSheetId="2">'Project Info'!#REF!</definedName>
    <definedName name="TextInsideBendRadius14GASetBA">'Project Info'!#REF!</definedName>
    <definedName name="TextInsideBendRadius16GASetBA" localSheetId="2">'Project Info'!#REF!</definedName>
    <definedName name="TextInsideBendRadius16GASetBA">'Project Info'!#REF!</definedName>
    <definedName name="TextInsideBendRadius18GASetBA" localSheetId="2">'Project Info'!#REF!</definedName>
    <definedName name="TextInsideBendRadius18GASetBA">'Project Info'!#REF!</definedName>
    <definedName name="TextInsideBendRadius20GASetBA" localSheetId="2">'Project Info'!#REF!</definedName>
    <definedName name="TextInsideBendRadius20GASetBA">'Project Info'!#REF!</definedName>
    <definedName name="TextJobName" localSheetId="2">'Project Info'!$C$4</definedName>
    <definedName name="TextJobName">'Project Info'!$C$4</definedName>
    <definedName name="TextModel">'Project Info'!$C$7</definedName>
    <definedName name="TextNote">'Project Info'!$B$11</definedName>
    <definedName name="TextOtherBOMAddress">'Project Info'!$V$1</definedName>
    <definedName name="TextOutPath">'Project Info'!$E$2</definedName>
    <definedName name="TextQTY">'Project Info'!$C$10</definedName>
    <definedName name="TextRootAddress">'Project Info'!$V$2</definedName>
    <definedName name="TextSerialNo">'Project Info'!$C$6</definedName>
    <definedName name="TextSharePointAddress">'Project Info'!#REF!</definedName>
    <definedName name="TextShipDate">'Project Info'!$G$10</definedName>
    <definedName name="TextSMK14GASetBA" localSheetId="2">'Project Info'!#REF!</definedName>
    <definedName name="TextSMK14GASetBA">'Project Info'!#REF!</definedName>
    <definedName name="TextSMK16GASetBA" localSheetId="2">'Project Info'!#REF!</definedName>
    <definedName name="TextSMK16GASetBA">'Project Info'!#REF!</definedName>
    <definedName name="TextSMK18GASetBA" localSheetId="2">'Project Info'!#REF!</definedName>
    <definedName name="TextSMK18GASetBA">'Project Info'!#REF!</definedName>
    <definedName name="TextSMK20GASetBA" localSheetId="2">'Project Info'!#REF!</definedName>
    <definedName name="TextSMK20GASetBA">'Project Info'!#REF!</definedName>
    <definedName name="TextSSSeries">'Project Info'!$B$11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27" i="1" l="1"/>
  <c r="C27" i="1"/>
  <c r="D26" i="1"/>
  <c r="C26" i="1"/>
  <c r="B26" i="1"/>
  <c r="Q23" i="1"/>
  <c r="P23" i="1"/>
  <c r="F23" i="1"/>
  <c r="I23" i="1" s="1"/>
  <c r="Q22" i="1"/>
  <c r="P22" i="1"/>
  <c r="F22" i="1"/>
  <c r="I22" i="1" s="1"/>
  <c r="Q21" i="1"/>
  <c r="P21" i="1"/>
  <c r="F21" i="1"/>
  <c r="I21" i="1" s="1"/>
  <c r="Q20" i="1"/>
  <c r="P20" i="1"/>
  <c r="F20" i="1"/>
  <c r="I20" i="1" s="1"/>
  <c r="Q19" i="1"/>
  <c r="P19" i="1"/>
  <c r="F19" i="1"/>
  <c r="I19" i="1" s="1"/>
  <c r="Q18" i="1"/>
  <c r="P18" i="1"/>
  <c r="F18" i="1"/>
  <c r="J18" i="1" s="1"/>
  <c r="Q17" i="1"/>
  <c r="P17" i="1"/>
  <c r="F17" i="1"/>
  <c r="J17" i="1" s="1"/>
  <c r="Q16" i="1"/>
  <c r="P16" i="1"/>
  <c r="F16" i="1"/>
  <c r="I16" i="1" s="1"/>
  <c r="Q15" i="1"/>
  <c r="P15" i="1"/>
  <c r="F15" i="1"/>
  <c r="I15" i="1" s="1"/>
  <c r="F4" i="9"/>
  <c r="M5" i="9"/>
  <c r="F6" i="9"/>
  <c r="F5" i="9"/>
  <c r="Q2" i="1"/>
  <c r="S2" i="1"/>
  <c r="R2" i="1"/>
  <c r="J19" i="1" l="1"/>
  <c r="J21" i="1"/>
  <c r="J16" i="1"/>
  <c r="J22" i="1"/>
  <c r="I17" i="1"/>
  <c r="I18" i="1"/>
  <c r="J20" i="1"/>
  <c r="J15" i="1"/>
  <c r="J23" i="1"/>
  <c r="T1" i="1"/>
  <c r="M6" i="9"/>
  <c r="F15" i="8"/>
  <c r="J15" i="8" s="1"/>
  <c r="D46" i="8"/>
  <c r="C46" i="8"/>
  <c r="B46" i="8"/>
  <c r="F43" i="8"/>
  <c r="J43" i="8" s="1"/>
  <c r="F42" i="8"/>
  <c r="J42" i="8" s="1"/>
  <c r="F41" i="8"/>
  <c r="J41" i="8" s="1"/>
  <c r="F40" i="8"/>
  <c r="J40" i="8" s="1"/>
  <c r="F39" i="8"/>
  <c r="J39" i="8" s="1"/>
  <c r="F38" i="8"/>
  <c r="I38" i="8" s="1"/>
  <c r="F37" i="8"/>
  <c r="J37" i="8" s="1"/>
  <c r="F36" i="8"/>
  <c r="J36" i="8" s="1"/>
  <c r="F35" i="8"/>
  <c r="I35" i="8" s="1"/>
  <c r="F34" i="8"/>
  <c r="I34" i="8" s="1"/>
  <c r="F33" i="8"/>
  <c r="I33" i="8" s="1"/>
  <c r="F32" i="8"/>
  <c r="J32" i="8" s="1"/>
  <c r="F31" i="8"/>
  <c r="I31" i="8" s="1"/>
  <c r="F30" i="8"/>
  <c r="J30" i="8" s="1"/>
  <c r="F29" i="8"/>
  <c r="I29" i="8" s="1"/>
  <c r="F28" i="8"/>
  <c r="J28" i="8" s="1"/>
  <c r="F27" i="8"/>
  <c r="J27" i="8" s="1"/>
  <c r="F26" i="8"/>
  <c r="J26" i="8" s="1"/>
  <c r="F25" i="8"/>
  <c r="J25" i="8" s="1"/>
  <c r="F24" i="8"/>
  <c r="J24" i="8" s="1"/>
  <c r="F23" i="8"/>
  <c r="J23" i="8" s="1"/>
  <c r="F22" i="8"/>
  <c r="I22" i="8" s="1"/>
  <c r="F20" i="8"/>
  <c r="J20" i="8" s="1"/>
  <c r="F19" i="8"/>
  <c r="J19" i="8" s="1"/>
  <c r="F18" i="8"/>
  <c r="I18" i="8" s="1"/>
  <c r="F17" i="8"/>
  <c r="I17" i="8" s="1"/>
  <c r="F16" i="8"/>
  <c r="I16" i="8" s="1"/>
  <c r="G10" i="8"/>
  <c r="G7" i="8"/>
  <c r="C7" i="8"/>
  <c r="G6" i="8"/>
  <c r="C6" i="8"/>
  <c r="C5" i="8"/>
  <c r="C4" i="8"/>
  <c r="T2" i="1" l="1"/>
  <c r="J35" i="8"/>
  <c r="J16" i="8"/>
  <c r="I37" i="8"/>
  <c r="J33" i="8"/>
  <c r="J22" i="8"/>
  <c r="I28" i="8"/>
  <c r="J38" i="8"/>
  <c r="J18" i="8"/>
  <c r="I30" i="8"/>
  <c r="I36" i="8"/>
  <c r="I26" i="8"/>
  <c r="J31" i="8"/>
  <c r="I42" i="8"/>
  <c r="I20" i="8"/>
  <c r="I15" i="8"/>
  <c r="I32" i="8"/>
  <c r="I41" i="8"/>
  <c r="I27" i="8"/>
  <c r="I43" i="8"/>
  <c r="I25" i="8"/>
  <c r="I19" i="8"/>
  <c r="I39" i="8"/>
  <c r="J34" i="8"/>
  <c r="I23" i="8"/>
  <c r="J17" i="8"/>
  <c r="I24" i="8"/>
  <c r="J29" i="8"/>
  <c r="I40" i="8"/>
  <c r="D48" i="8" l="1"/>
  <c r="C47" i="8"/>
  <c r="D47" i="8"/>
  <c r="C48" i="8"/>
  <c r="D3" i="6" l="1"/>
  <c r="E23" i="6"/>
  <c r="I23" i="6" s="1"/>
  <c r="H23" i="6" s="1"/>
  <c r="I22" i="6"/>
  <c r="H22" i="6" s="1"/>
  <c r="I19" i="6"/>
  <c r="H19" i="6" s="1"/>
  <c r="E16" i="6"/>
  <c r="I16" i="6" s="1"/>
  <c r="H16" i="6" s="1"/>
  <c r="E15" i="6"/>
  <c r="I15" i="6" s="1"/>
  <c r="H15" i="6" s="1"/>
  <c r="E14" i="6"/>
  <c r="I14" i="6" s="1"/>
  <c r="H14" i="6" s="1"/>
  <c r="E13" i="6"/>
  <c r="I13" i="6" s="1"/>
  <c r="H13" i="6" s="1"/>
  <c r="E12" i="6"/>
  <c r="I12" i="6" s="1"/>
  <c r="H12" i="6" s="1"/>
  <c r="E11" i="6"/>
  <c r="I11" i="6" s="1"/>
  <c r="H11" i="6" s="1"/>
  <c r="E10" i="6"/>
  <c r="I10" i="6" s="1"/>
  <c r="H10" i="6" s="1"/>
  <c r="E9" i="6"/>
  <c r="I9" i="6" s="1"/>
  <c r="H9" i="6" s="1"/>
  <c r="E8" i="6"/>
  <c r="I8" i="6" s="1"/>
  <c r="I6" i="6"/>
  <c r="B26" i="6" s="1"/>
  <c r="C26" i="6" s="1"/>
  <c r="O3" i="6"/>
  <c r="E18" i="6" s="1"/>
  <c r="I18" i="6" s="1"/>
  <c r="H18" i="6" s="1"/>
  <c r="E20" i="6" l="1"/>
  <c r="I20" i="6" s="1"/>
  <c r="H20" i="6" s="1"/>
  <c r="E17" i="6"/>
  <c r="I17" i="6" s="1"/>
  <c r="H17" i="6" s="1"/>
  <c r="E21" i="6"/>
  <c r="I21" i="6" s="1"/>
  <c r="H21" i="6" s="1"/>
  <c r="H8" i="6"/>
  <c r="H6" i="6"/>
  <c r="B27" i="6" l="1"/>
  <c r="C27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Justin Luo</author>
  </authors>
  <commentList>
    <comment ref="E6" authorId="0" shapeId="0" xr:uid="{06D85B12-62FC-4B0C-9AB5-CA3F4636E7AB}">
      <text>
        <r>
          <rPr>
            <b/>
            <sz val="8"/>
            <color indexed="81"/>
            <rFont val="Tahoma"/>
            <family val="2"/>
          </rPr>
          <t>Justin Luo:</t>
        </r>
        <r>
          <rPr>
            <sz val="8"/>
            <color indexed="81"/>
            <rFont val="Tahoma"/>
            <family val="2"/>
          </rPr>
          <t xml:space="preserve">
Depend on how long the hood is. Normally, 4 pieces are enough for most of the hood</t>
        </r>
      </text>
    </comment>
    <comment ref="E8" authorId="0" shapeId="0" xr:uid="{CA19B676-A4CB-497F-BAB8-372BD371A714}">
      <text>
        <r>
          <rPr>
            <b/>
            <sz val="8"/>
            <color indexed="81"/>
            <rFont val="Tahoma"/>
            <family val="2"/>
          </rPr>
          <t>Justin Luo:</t>
        </r>
        <r>
          <rPr>
            <sz val="8"/>
            <color indexed="81"/>
            <rFont val="Tahoma"/>
            <family val="2"/>
          </rPr>
          <t xml:space="preserve">
a standard door only have 3 pieces.
Special door have 265-ajx-0020 and 265-ajw-0000</t>
        </r>
      </text>
    </comment>
    <comment ref="E17" authorId="0" shapeId="0" xr:uid="{401AF63F-8760-4924-9CB3-66C6BE6DAE64}">
      <text>
        <r>
          <rPr>
            <b/>
            <sz val="8"/>
            <color indexed="81"/>
            <rFont val="Tahoma"/>
            <family val="2"/>
          </rPr>
          <t>Justin Luo:</t>
        </r>
        <r>
          <rPr>
            <sz val="8"/>
            <color indexed="81"/>
            <rFont val="Tahoma"/>
            <family val="2"/>
          </rPr>
          <t xml:space="preserve">
there are 2 pieces for every door</t>
        </r>
      </text>
    </comment>
    <comment ref="E18" authorId="0" shapeId="0" xr:uid="{69B8A270-E6DE-4057-B172-5265CF773734}">
      <text>
        <r>
          <rPr>
            <b/>
            <sz val="8"/>
            <color indexed="81"/>
            <rFont val="Tahoma"/>
            <family val="2"/>
          </rPr>
          <t>Justin Luo:</t>
        </r>
        <r>
          <rPr>
            <sz val="8"/>
            <color indexed="81"/>
            <rFont val="Tahoma"/>
            <family val="2"/>
          </rPr>
          <t xml:space="preserve">
equal to center mullion qty.</t>
        </r>
      </text>
    </comment>
    <comment ref="E19" authorId="0" shapeId="0" xr:uid="{EC1B6456-17E0-4C5A-806F-4D8A41FFD109}">
      <text>
        <r>
          <rPr>
            <b/>
            <sz val="8"/>
            <color indexed="81"/>
            <rFont val="Tahoma"/>
            <family val="2"/>
          </rPr>
          <t>Justin Luo:</t>
        </r>
        <r>
          <rPr>
            <sz val="8"/>
            <color indexed="81"/>
            <rFont val="Tahoma"/>
            <family val="2"/>
          </rPr>
          <t xml:space="preserve">
2 piece per hood. When there is manifold, need more.</t>
        </r>
      </text>
    </comment>
    <comment ref="E20" authorId="0" shapeId="0" xr:uid="{DAD53354-0DB7-4F3E-A975-F7B63AFEE169}">
      <text>
        <r>
          <rPr>
            <b/>
            <sz val="8"/>
            <color indexed="81"/>
            <rFont val="Tahoma"/>
            <family val="2"/>
          </rPr>
          <t>Justin Luo:</t>
        </r>
        <r>
          <rPr>
            <sz val="8"/>
            <color indexed="81"/>
            <rFont val="Tahoma"/>
            <family val="2"/>
          </rPr>
          <t xml:space="preserve">
equal to center mullion qty.</t>
        </r>
      </text>
    </comment>
    <comment ref="E21" authorId="0" shapeId="0" xr:uid="{060E10BD-3341-4D71-A568-E8959C8C3E87}">
      <text>
        <r>
          <rPr>
            <b/>
            <sz val="8"/>
            <color indexed="81"/>
            <rFont val="Tahoma"/>
            <family val="2"/>
          </rPr>
          <t>Justin Luo:</t>
        </r>
        <r>
          <rPr>
            <sz val="8"/>
            <color indexed="81"/>
            <rFont val="Tahoma"/>
            <family val="2"/>
          </rPr>
          <t xml:space="preserve">
equal to center mullion qty.</t>
        </r>
      </text>
    </comment>
    <comment ref="E22" authorId="0" shapeId="0" xr:uid="{4D220D4A-D5D4-48C6-B06B-A598E7A7FB75}">
      <text>
        <r>
          <rPr>
            <b/>
            <sz val="8"/>
            <color indexed="81"/>
            <rFont val="Tahoma"/>
            <family val="2"/>
          </rPr>
          <t>Justin Luo:</t>
        </r>
        <r>
          <rPr>
            <sz val="8"/>
            <color indexed="81"/>
            <rFont val="Tahoma"/>
            <family val="2"/>
          </rPr>
          <t xml:space="preserve">
2 pieces for a hood. Equal to the qty of end mullion</t>
        </r>
      </text>
    </comment>
    <comment ref="E23" authorId="0" shapeId="0" xr:uid="{09575090-7E17-44BB-958A-FCFCABE29552}">
      <text>
        <r>
          <rPr>
            <b/>
            <sz val="8"/>
            <color indexed="81"/>
            <rFont val="Tahoma"/>
            <family val="2"/>
          </rPr>
          <t>Justin Luo:</t>
        </r>
        <r>
          <rPr>
            <sz val="8"/>
            <color indexed="81"/>
            <rFont val="Tahoma"/>
            <family val="2"/>
          </rPr>
          <t xml:space="preserve">
2 piece for a collar with damper</t>
        </r>
      </text>
    </comment>
  </commentList>
</comments>
</file>

<file path=xl/sharedStrings.xml><?xml version="1.0" encoding="utf-8"?>
<sst xmlns="http://schemas.openxmlformats.org/spreadsheetml/2006/main" count="565" uniqueCount="353">
  <si>
    <t>JOB NAME:</t>
  </si>
  <si>
    <t>SERIAL No:</t>
  </si>
  <si>
    <t>MODEL:</t>
  </si>
  <si>
    <t>DATE:</t>
  </si>
  <si>
    <t>CHECKED BY:</t>
  </si>
  <si>
    <t>QUANTITY:</t>
  </si>
  <si>
    <t>SHIP DATE:</t>
  </si>
  <si>
    <t>MATERIAL</t>
  </si>
  <si>
    <t>PART DESCRIPTION</t>
  </si>
  <si>
    <t>QTY.</t>
  </si>
  <si>
    <t>PART No.</t>
  </si>
  <si>
    <t>Project Code:</t>
    <phoneticPr fontId="5" type="noConversion"/>
  </si>
  <si>
    <t>CNC    No.</t>
  </si>
  <si>
    <t>Change K Factors</t>
  </si>
  <si>
    <t>Set Material Name</t>
  </si>
  <si>
    <t>S/S - #4</t>
  </si>
  <si>
    <t>S/S PERF</t>
  </si>
  <si>
    <t>ALUM</t>
  </si>
  <si>
    <t>C.R.S.</t>
  </si>
  <si>
    <t>S/S - 2B</t>
  </si>
  <si>
    <t>MaterialType</t>
  </si>
  <si>
    <t>StandardName</t>
  </si>
  <si>
    <t>OldName</t>
  </si>
  <si>
    <t xml:space="preserve"> S/S 4B/2B</t>
  </si>
  <si>
    <t xml:space="preserve"> 4B/2B Perf10</t>
  </si>
  <si>
    <t xml:space="preserve"> GI</t>
  </si>
  <si>
    <t xml:space="preserve"> Q235</t>
  </si>
  <si>
    <t xml:space="preserve"> Q235 Perf10</t>
  </si>
  <si>
    <t xml:space="preserve"> S/S 2B/2B</t>
  </si>
  <si>
    <t xml:space="preserve"> GI Perf10</t>
  </si>
  <si>
    <t xml:space="preserve"> GI Perf</t>
  </si>
  <si>
    <t>ALUM PERF</t>
  </si>
  <si>
    <t>C.R.S.  PERF</t>
  </si>
  <si>
    <t>GA-S/S 4B/2B</t>
  </si>
  <si>
    <t>GA-S/S Perf</t>
  </si>
  <si>
    <t>GA-S/S 2B/2B</t>
  </si>
  <si>
    <t>GA-Galv. Sheet</t>
  </si>
  <si>
    <t>GA-Galv. Perf</t>
  </si>
  <si>
    <t>GA-Cold Rolled</t>
  </si>
  <si>
    <t>GA-Cold Rolled Perf</t>
  </si>
  <si>
    <t>mm-S/S 4B/2B</t>
  </si>
  <si>
    <t>mm-S/S Perf</t>
  </si>
  <si>
    <t>mm-S/S 2B/2B</t>
  </si>
  <si>
    <t>mm-Galv. Sheet</t>
  </si>
  <si>
    <t>mm-Galv. Perf</t>
  </si>
  <si>
    <t>mm-Cold Rolled</t>
  </si>
  <si>
    <t>mm-Cold Rolled Perf</t>
  </si>
  <si>
    <t>20 GA</t>
  </si>
  <si>
    <t>18 GA</t>
  </si>
  <si>
    <t>16 GA</t>
  </si>
  <si>
    <t>14 GA</t>
  </si>
  <si>
    <t>12 GA</t>
  </si>
  <si>
    <t>1.00mm</t>
  </si>
  <si>
    <t>1.20mm</t>
  </si>
  <si>
    <t>1.35mm</t>
  </si>
  <si>
    <t>1.50mm</t>
  </si>
  <si>
    <t>2.00mm</t>
  </si>
  <si>
    <t>3.00mm</t>
  </si>
  <si>
    <t>Engineer:</t>
  </si>
  <si>
    <t>Y</t>
  </si>
  <si>
    <t>X (GRAIN )</t>
  </si>
  <si>
    <t>0.95mm</t>
  </si>
  <si>
    <t>18 GA S/S - #4</t>
  </si>
  <si>
    <t>20 GA S/S - #4</t>
  </si>
  <si>
    <t>16 GA S/S - #4</t>
  </si>
  <si>
    <t>14 GA S/S - #4</t>
  </si>
  <si>
    <t>12 GA S/S - #4</t>
  </si>
  <si>
    <t>0.95mm S/S 4B/2B</t>
  </si>
  <si>
    <t>1.00mm S/S 4B/2B</t>
  </si>
  <si>
    <t>1.20mm S/S 4B/2B</t>
  </si>
  <si>
    <t>1.35mm S/S 4B/2B</t>
  </si>
  <si>
    <t>1.50mm S/S 4B/2B</t>
  </si>
  <si>
    <t>2.00mm S/S 4B/2B</t>
  </si>
  <si>
    <t>3.00mm S/S 4B/2B</t>
  </si>
  <si>
    <t>Change Material K Factors</t>
  </si>
  <si>
    <t>MaterialName</t>
  </si>
  <si>
    <t>SheetMetalKFactorM</t>
  </si>
  <si>
    <t>HemKFactormM</t>
  </si>
  <si>
    <t>InsidebendradiusmmM</t>
  </si>
  <si>
    <t>MaterialThicknessmmM</t>
  </si>
  <si>
    <t>MaterialGauges</t>
  </si>
  <si>
    <t>SheetMetalKFactor</t>
  </si>
  <si>
    <t>HemKFactor</t>
  </si>
  <si>
    <t>InsideBendRadiusMM</t>
  </si>
  <si>
    <t>MaterialThicknessMM</t>
  </si>
  <si>
    <t>1.25mm</t>
  </si>
  <si>
    <t>0.50mm EN 1.4404 (X2CrNiMo17-12-2)</t>
  </si>
  <si>
    <t>3.00mm EN 1.4404 (X2CrNiMo17-12-2)</t>
  </si>
  <si>
    <t>5.00mm EN 1.4404 (X2CrNiMo17-12-2)</t>
  </si>
  <si>
    <t>8.00mm EN 1.4404 (X2CrNiMo17-12-2)</t>
  </si>
  <si>
    <t>10.0mm EN 1.4404 (X2CrNiMo17-12-2)</t>
  </si>
  <si>
    <t>3.00mm EN AW 5754</t>
  </si>
  <si>
    <t>5.00mm EN AW 5754</t>
  </si>
  <si>
    <t>8.00mm EN AW 5754</t>
  </si>
  <si>
    <t>10.0mm EN AW 5754</t>
  </si>
  <si>
    <t>QtyBends</t>
  </si>
  <si>
    <t xml:space="preserve"> EN 1.4404 (X2CrNiMo17-12-2)</t>
  </si>
  <si>
    <t xml:space="preserve"> EN AW 5754</t>
  </si>
  <si>
    <t>5.00mm</t>
  </si>
  <si>
    <t>8.00mm</t>
  </si>
  <si>
    <t>10.0mm</t>
  </si>
  <si>
    <t>11.0mm</t>
  </si>
  <si>
    <t>12.0mm</t>
  </si>
  <si>
    <t>mm-FinL-ss</t>
  </si>
  <si>
    <t>mm-FinL-Alum</t>
  </si>
  <si>
    <t>2.00mm EN AW 5754</t>
  </si>
  <si>
    <t>2.00mm EN 1.4432 (X2CrNiMoN17-12-3)</t>
  </si>
  <si>
    <t xml:space="preserve">2.00mm EN 1.4438 </t>
  </si>
  <si>
    <t>2.00mm EN 1.4404 (X2CrNiMo17-12-2)</t>
  </si>
  <si>
    <t>SHEAR SIZE (inch)</t>
  </si>
  <si>
    <t>Weight Lbs</t>
  </si>
  <si>
    <t>SQ. FT</t>
  </si>
  <si>
    <t>German</t>
  </si>
  <si>
    <t>DXF&gt;&gt;&gt;&gt;&gt;&gt;&gt;&gt;I:\engineering\PTC_data\wo\KVE-WW-STD-PARTS</t>
  </si>
  <si>
    <t>NOTE: TOTAL NUMBER IS FOR ALL THE HOODS IN THE JOB</t>
  </si>
  <si>
    <t>TOTAL NUMBER OF HOODS</t>
  </si>
  <si>
    <t>TOTAL NUMBER OF CASSETTES</t>
  </si>
  <si>
    <t>Total</t>
  </si>
  <si>
    <t>Unit</t>
  </si>
  <si>
    <t>CA-KVE WW-Manifold Bracket-Front</t>
  </si>
  <si>
    <t>53245AX</t>
  </si>
  <si>
    <t>CA-KVE WW-Manifold Bracket-Back</t>
  </si>
  <si>
    <t>53246AX</t>
  </si>
  <si>
    <t>CA-KVE WW-Manifold Clamp Bracket</t>
  </si>
  <si>
    <t>53247XX</t>
  </si>
  <si>
    <t>CA-KVE WW UV-UV Cassette Support - Right</t>
  </si>
  <si>
    <t>53237XX</t>
  </si>
  <si>
    <t>CA-KVE WW UV-UV Cassette Support - Left</t>
  </si>
  <si>
    <t>53238XX</t>
  </si>
  <si>
    <t>CA-KVE WW UV-UV Cassette Hanger</t>
  </si>
  <si>
    <t>53265XX</t>
  </si>
  <si>
    <t>CA-KVE WW-UV-Muffin Fan Mount Bracket</t>
  </si>
  <si>
    <t>50033XX</t>
  </si>
  <si>
    <t>CA-KVE WW-Ansul Detect Channel Side-RT</t>
  </si>
  <si>
    <t>53209XA</t>
  </si>
  <si>
    <t>CA-KVE WW-Ansul Detect Channel Side-LT</t>
  </si>
  <si>
    <t>53209XB</t>
  </si>
  <si>
    <t>CA-KVE WW UV-UV Cassette Access Mullion-Mid</t>
  </si>
  <si>
    <t>53220XX</t>
  </si>
  <si>
    <t>CA-KVE WW UV-UV Cassette Access Mullion-Clip Hem</t>
  </si>
  <si>
    <t>53223XX</t>
  </si>
  <si>
    <t>CA-KVE WW-KSA Door Divider-Cover</t>
  </si>
  <si>
    <t>53233XX-338</t>
  </si>
  <si>
    <t>CA-KVE WW UV-KSA Panel Switch Activator</t>
  </si>
  <si>
    <t>53239XX</t>
  </si>
  <si>
    <t>CA-KVE WW UV-KSA Door SW Cover Body-LT</t>
  </si>
  <si>
    <t>53240AX-13</t>
  </si>
  <si>
    <t>CA-KVE WW UV-KSA Door SW Cover Body-RT</t>
  </si>
  <si>
    <t>53240XX-13</t>
  </si>
  <si>
    <t>CA-KVE WW UV-KSA Door SW Cover Side-LT</t>
  </si>
  <si>
    <t>53241AX-13</t>
  </si>
  <si>
    <t>CA-KVE WW UV-KSA Door SW Cover Side-RT</t>
  </si>
  <si>
    <t>53241XX-13</t>
  </si>
  <si>
    <t>CA-KVE WW-KSA Door SW Plate-Side</t>
  </si>
  <si>
    <t>53242XX</t>
  </si>
  <si>
    <t>CA-KVE WW-KSA Door Divider-Body</t>
  </si>
  <si>
    <t>53243XX-13</t>
  </si>
  <si>
    <t>CA-KVE WW-KSA Door Divider-Body-Side</t>
  </si>
  <si>
    <t>53244XX-13</t>
  </si>
  <si>
    <t>CA-KVE WW-KSA Door Divider-Body-Cap</t>
  </si>
  <si>
    <t>53262XX</t>
  </si>
  <si>
    <t>CA-KVE WW-KSA Door Body Cap-Side</t>
  </si>
  <si>
    <t>53263XX</t>
  </si>
  <si>
    <t>CA-KVE WW UV-Filter Switch Bracket</t>
  </si>
  <si>
    <t>53266XA</t>
  </si>
  <si>
    <t>53266XX</t>
  </si>
  <si>
    <t>CA-KVE WW UV-Cassette Access Switch Chase</t>
  </si>
  <si>
    <t>53248XXA</t>
  </si>
  <si>
    <t>CA-KVE WW UV-Cassette Access Switch Chase Top</t>
  </si>
  <si>
    <t>53249XX</t>
  </si>
  <si>
    <t>CA-KVE WW UV-Cassette Access Switch Chase Tab</t>
  </si>
  <si>
    <t>53250XX</t>
  </si>
  <si>
    <t>CA-KVE WW UV-Filter Switch Chase Tab</t>
  </si>
  <si>
    <t>53253XX</t>
  </si>
  <si>
    <t>Drawings are in KVE WW UV Binder</t>
  </si>
  <si>
    <t xml:space="preserve"> </t>
  </si>
  <si>
    <t xml:space="preserve"> MANUALLY INPUT BY ENGINEER</t>
  </si>
  <si>
    <t>TOTAL NUMBER OF 13" KSA</t>
  </si>
  <si>
    <t>10 GA</t>
  </si>
  <si>
    <t>Qty34Door=</t>
  </si>
  <si>
    <t>QtyTotalDoor=</t>
  </si>
  <si>
    <t>SHEAR SIZE</t>
  </si>
  <si>
    <t>Qty28Door=</t>
  </si>
  <si>
    <t>QtyCollars=</t>
  </si>
  <si>
    <t>GRAIN</t>
  </si>
  <si>
    <t>CNC No.</t>
  </si>
  <si>
    <t>Qty22Door=</t>
  </si>
  <si>
    <t>12GA_S/S_#304-4</t>
  </si>
  <si>
    <t>BRACE  FRONT LIP POD ,CM-B</t>
  </si>
  <si>
    <t>005-A8K-0000</t>
  </si>
  <si>
    <t>18GA_S/S_#304-4</t>
  </si>
  <si>
    <r>
      <t>FRONT ACCESS DOOR CM-B .</t>
    </r>
    <r>
      <rPr>
        <b/>
        <sz val="10"/>
        <rFont val="Arial"/>
        <family val="2"/>
      </rPr>
      <t>34</t>
    </r>
  </si>
  <si>
    <t>265-A8B-0032</t>
  </si>
  <si>
    <r>
      <t>DIVIDER ADJ BAFFLE ,DOOR CM-B,</t>
    </r>
    <r>
      <rPr>
        <b/>
        <sz val="10"/>
        <rFont val="Arial"/>
        <family val="2"/>
      </rPr>
      <t>34</t>
    </r>
  </si>
  <si>
    <t>265-A8D-0032</t>
  </si>
  <si>
    <r>
      <t>DIVIDER  ,DOOR CM-B,</t>
    </r>
    <r>
      <rPr>
        <b/>
        <sz val="10"/>
        <rFont val="Arial"/>
        <family val="2"/>
      </rPr>
      <t>34</t>
    </r>
  </si>
  <si>
    <t>265-A8C-0032</t>
  </si>
  <si>
    <r>
      <t>FRONT ACCESS DOOR CM-B .</t>
    </r>
    <r>
      <rPr>
        <b/>
        <sz val="10"/>
        <rFont val="Arial"/>
        <family val="2"/>
      </rPr>
      <t>28</t>
    </r>
  </si>
  <si>
    <t>265-A8B-0031</t>
  </si>
  <si>
    <r>
      <t>DIVIDER ADJ BAFFLE ,DOOR CM-B,</t>
    </r>
    <r>
      <rPr>
        <b/>
        <sz val="10"/>
        <rFont val="Arial"/>
        <family val="2"/>
      </rPr>
      <t>28</t>
    </r>
  </si>
  <si>
    <t>265-A8D-0031</t>
  </si>
  <si>
    <r>
      <t>DIVIDER  ,DOOR CM-B,</t>
    </r>
    <r>
      <rPr>
        <b/>
        <sz val="10"/>
        <rFont val="Arial"/>
        <family val="2"/>
      </rPr>
      <t>28</t>
    </r>
  </si>
  <si>
    <t>265-A8C-0031</t>
  </si>
  <si>
    <r>
      <t>FRONT ACCESS DOOR CM-B .</t>
    </r>
    <r>
      <rPr>
        <b/>
        <sz val="10"/>
        <rFont val="Arial"/>
        <family val="2"/>
      </rPr>
      <t>22</t>
    </r>
  </si>
  <si>
    <t>265-A8B-0030</t>
  </si>
  <si>
    <r>
      <t>DIVIDER ADJ BAFFLE ,DOOR CM-B,</t>
    </r>
    <r>
      <rPr>
        <b/>
        <sz val="10"/>
        <rFont val="Arial"/>
        <family val="2"/>
      </rPr>
      <t>22</t>
    </r>
  </si>
  <si>
    <t>265-A8D-0030</t>
  </si>
  <si>
    <r>
      <t>DIVIDER  ,DOOR CM-B,</t>
    </r>
    <r>
      <rPr>
        <b/>
        <sz val="10"/>
        <rFont val="Arial"/>
        <family val="2"/>
      </rPr>
      <t>22</t>
    </r>
  </si>
  <si>
    <t>265-A8C-0030</t>
  </si>
  <si>
    <t>CLIP RETAINER POD DOOR CM-B</t>
  </si>
  <si>
    <t>265-A8F-0000</t>
  </si>
  <si>
    <t>BRACKET INTERMEDIATE REAR POD CM-B</t>
  </si>
  <si>
    <t>265-A8H-0000</t>
  </si>
  <si>
    <t>BRACKET TOP MANIFOLD POD CM-B</t>
  </si>
  <si>
    <t>265-A8M-0000</t>
  </si>
  <si>
    <t>CLIP MIDDLE,POD ACCESS DOOR CM-B</t>
  </si>
  <si>
    <t>265-A8I-0000</t>
  </si>
  <si>
    <t>DIVIDER POD SPRAY BAFFLE</t>
  </si>
  <si>
    <t>265-A8J-0000</t>
  </si>
  <si>
    <t>CLIP END,POD ACCESS DOOR CM-B</t>
  </si>
  <si>
    <t>265-A8L-0000</t>
  </si>
  <si>
    <t>VOLUME DAMPER BRACKET CM-B</t>
  </si>
  <si>
    <t>265-VDA-0000</t>
  </si>
  <si>
    <t>LBS</t>
  </si>
  <si>
    <t>For Stainless Steel</t>
  </si>
  <si>
    <t>For Cold Roll and alumalize</t>
  </si>
  <si>
    <t>14 GA C.R.S.</t>
  </si>
  <si>
    <t>16 GA C.R.S.</t>
  </si>
  <si>
    <t>18 GA C.R.S.</t>
  </si>
  <si>
    <t>20 GA C.R.S.</t>
  </si>
  <si>
    <t>14 GA ALUM</t>
  </si>
  <si>
    <t>16 GA ALUM</t>
  </si>
  <si>
    <t>18 GA ALUM</t>
  </si>
  <si>
    <t>20 GA ALUM</t>
  </si>
  <si>
    <t>12 GA C.R.S.</t>
  </si>
  <si>
    <t>12 GA ALUM</t>
  </si>
  <si>
    <t>TOTAL NUMBER OF Doors</t>
  </si>
  <si>
    <t>Comment</t>
  </si>
  <si>
    <t>KVE WW UV</t>
  </si>
  <si>
    <t>KVE WW &amp; UV</t>
  </si>
  <si>
    <t>In both job folder and Library</t>
  </si>
  <si>
    <t>Project Name:</t>
  </si>
  <si>
    <t xml:space="preserve">Description: </t>
  </si>
  <si>
    <t>Drawing &amp; Item #:</t>
  </si>
  <si>
    <t>Ship Date:</t>
  </si>
  <si>
    <t xml:space="preserve">Check the following:  </t>
  </si>
  <si>
    <t>No Scratches</t>
  </si>
  <si>
    <t>Hood cleaned and vacuumed</t>
  </si>
  <si>
    <t>No dents</t>
  </si>
  <si>
    <t>Grease cup installed</t>
  </si>
  <si>
    <t>No steel imperfections</t>
  </si>
  <si>
    <t>CJ fan tested and calibrated</t>
  </si>
  <si>
    <t>Brake press quality</t>
  </si>
  <si>
    <t>Correct Static pressure tag attached 
(CJ models only)</t>
  </si>
  <si>
    <t>Capture jet holes present and match drawing</t>
  </si>
  <si>
    <t>Location/orientation of nozzles correct</t>
  </si>
  <si>
    <t>Weld Quality in general and Brackets if applicable</t>
  </si>
  <si>
    <t>Ansul allows clearance to remove cassettes (UV models only)</t>
  </si>
  <si>
    <t>Caulking properly applied</t>
  </si>
  <si>
    <t>Light fixtures installed/tested</t>
  </si>
  <si>
    <t>Welding Dampers Complete and Check for Pinholes</t>
  </si>
  <si>
    <t xml:space="preserve">Fire protection correctly installed </t>
  </si>
  <si>
    <t>Polishing Completed</t>
  </si>
  <si>
    <t>Inspection label attached to hood &amp; signed</t>
  </si>
  <si>
    <t>Fire damper installed</t>
  </si>
  <si>
    <t>Items below inspected/verified by crating operator</t>
  </si>
  <si>
    <t>Customer information package inside hood</t>
  </si>
  <si>
    <t>No Scratches and No dents</t>
  </si>
  <si>
    <t>UV lights packed/included</t>
  </si>
  <si>
    <t>Unit passed Dielectric Voltage Test</t>
  </si>
  <si>
    <t>Filter removal tool included</t>
  </si>
  <si>
    <t>UV testing completed &amp; test sheet attached to hood (UV models only)</t>
  </si>
  <si>
    <t>Filters installed and/or packed</t>
  </si>
  <si>
    <t>Marvel testing completed &amp; test sheet attached to hood</t>
  </si>
  <si>
    <t>All comonents secured within crate and Photo taken</t>
  </si>
  <si>
    <t>Labels applied and verified</t>
  </si>
  <si>
    <t>Checked by</t>
  </si>
  <si>
    <t xml:space="preserve">Lead Hands </t>
  </si>
  <si>
    <t>CNC/BP</t>
  </si>
  <si>
    <t>WELDING</t>
  </si>
  <si>
    <t xml:space="preserve">ASSEMBLY </t>
  </si>
  <si>
    <t>ELECTRICAL</t>
  </si>
  <si>
    <t>C:\Users\jluo\Documents\SolidworksTemplates-2023Edit\Macros</t>
  </si>
  <si>
    <t>Mississauga-Canada</t>
  </si>
  <si>
    <t>false</t>
  </si>
  <si>
    <t>true</t>
  </si>
  <si>
    <t>False</t>
  </si>
  <si>
    <t>True</t>
  </si>
  <si>
    <t>Hood Quality</t>
  </si>
  <si>
    <t>EASM:</t>
  </si>
  <si>
    <t>ASM PDF:</t>
  </si>
  <si>
    <t>QtyIn1Unit</t>
  </si>
  <si>
    <t>Project Status:</t>
  </si>
  <si>
    <t>Design</t>
  </si>
  <si>
    <t>BOM</t>
  </si>
  <si>
    <t>Released</t>
  </si>
  <si>
    <t>Crate</t>
  </si>
  <si>
    <t>Shipped</t>
  </si>
  <si>
    <t>CNC Program</t>
  </si>
  <si>
    <t>Punch</t>
  </si>
  <si>
    <t>Press Brake</t>
  </si>
  <si>
    <t>Weld</t>
  </si>
  <si>
    <t>Assembly</t>
  </si>
  <si>
    <t>Operation</t>
  </si>
  <si>
    <t>CNC</t>
  </si>
  <si>
    <t>BP</t>
  </si>
  <si>
    <t>ANSUL</t>
  </si>
  <si>
    <t>ASSEMBLY</t>
  </si>
  <si>
    <t>ENGINEER</t>
  </si>
  <si>
    <t>CRATING</t>
  </si>
  <si>
    <t>Name</t>
  </si>
  <si>
    <t>Finish Date</t>
  </si>
  <si>
    <t>Hours</t>
  </si>
  <si>
    <r>
      <t>( "</t>
    </r>
    <r>
      <rPr>
        <b/>
        <sz val="11"/>
        <color indexed="8"/>
        <rFont val="Calibri"/>
        <family val="2"/>
        <scheme val="minor"/>
      </rPr>
      <t>X"</t>
    </r>
    <r>
      <rPr>
        <sz val="10"/>
        <rFont val="Calibri"/>
        <family val="2"/>
        <scheme val="minor"/>
      </rPr>
      <t>complies , "</t>
    </r>
    <r>
      <rPr>
        <b/>
        <sz val="11"/>
        <color indexed="8"/>
        <rFont val="Calibri"/>
        <family val="2"/>
        <scheme val="minor"/>
      </rPr>
      <t xml:space="preserve">C" </t>
    </r>
    <r>
      <rPr>
        <sz val="10"/>
        <rFont val="Calibri"/>
        <family val="2"/>
        <scheme val="minor"/>
      </rPr>
      <t>corrected or reworked, "</t>
    </r>
    <r>
      <rPr>
        <b/>
        <sz val="11"/>
        <color indexed="8"/>
        <rFont val="Calibri"/>
        <family val="2"/>
        <scheme val="minor"/>
      </rPr>
      <t>N/A"</t>
    </r>
    <r>
      <rPr>
        <sz val="10"/>
        <rFont val="Calibri"/>
        <family val="2"/>
        <scheme val="minor"/>
      </rPr>
      <t xml:space="preserve"> not applicable )</t>
    </r>
  </si>
  <si>
    <r>
      <rPr>
        <b/>
        <sz val="18"/>
        <color indexed="8"/>
        <rFont val="Calibri"/>
        <family val="2"/>
        <scheme val="minor"/>
      </rPr>
      <t>Hood</t>
    </r>
    <r>
      <rPr>
        <b/>
        <sz val="16"/>
        <color indexed="8"/>
        <rFont val="Calibri"/>
        <family val="2"/>
        <scheme val="minor"/>
      </rPr>
      <t xml:space="preserve"> </t>
    </r>
    <r>
      <rPr>
        <b/>
        <sz val="18"/>
        <color indexed="8"/>
        <rFont val="Calibri"/>
        <family val="2"/>
        <scheme val="minor"/>
      </rPr>
      <t>Quality Checklist</t>
    </r>
  </si>
  <si>
    <t>rev D JUNE/2024</t>
  </si>
  <si>
    <t>Project Code:</t>
  </si>
  <si>
    <t>RadanMThickness</t>
  </si>
  <si>
    <t>RadanProjectMtName</t>
  </si>
  <si>
    <t>Letter</t>
  </si>
  <si>
    <t>UK Labels</t>
  </si>
  <si>
    <t>IPS</t>
  </si>
  <si>
    <t>Weight Lbs 1</t>
  </si>
  <si>
    <t/>
  </si>
  <si>
    <t>KONICA MINOLTA Universal V4 PCL</t>
  </si>
  <si>
    <t>1</t>
  </si>
  <si>
    <t>mm</t>
  </si>
  <si>
    <t>First Angle Projection</t>
  </si>
  <si>
    <t>Standard Product</t>
  </si>
  <si>
    <t>K:\DigitalFactory\</t>
  </si>
  <si>
    <t>2025-04-04</t>
  </si>
  <si>
    <t>K:\DigitalFactory\Content\StandardProduct\ABD\10106</t>
  </si>
  <si>
    <t>ABD</t>
  </si>
  <si>
    <t>Mujeeb</t>
  </si>
  <si>
    <t>ABD Front</t>
  </si>
  <si>
    <t>53280RX-106AL</t>
  </si>
  <si>
    <t>ABD Back</t>
  </si>
  <si>
    <t>53280SX-106</t>
  </si>
  <si>
    <t>ABD Damper shaft Linkage</t>
  </si>
  <si>
    <t>53283BX</t>
  </si>
  <si>
    <t>DAMPER Straight Linkage</t>
  </si>
  <si>
    <t>53285JX</t>
  </si>
  <si>
    <t>ABD COVER PLUS 10</t>
  </si>
  <si>
    <t>53286PX-10L</t>
  </si>
  <si>
    <t>Vane Bracket</t>
  </si>
  <si>
    <t>53288AX-10</t>
  </si>
  <si>
    <t>ABD Right</t>
  </si>
  <si>
    <t>ABD LEFT</t>
  </si>
  <si>
    <t>54102SX-106</t>
  </si>
  <si>
    <t>Damper Blade</t>
  </si>
  <si>
    <t>54103BX-10106</t>
  </si>
  <si>
    <t>ABD Assembly-10106LTAG</t>
  </si>
  <si>
    <t>54102BX-106TG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</si>
</sst>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8"/>
      <color theme="3"/>
      <name val="Cambria"/>
      <family val="2"/>
      <scheme val="major"/>
    </font>
    <font>
      <b/>
      <sz val="14"/>
      <name val="Arial"/>
      <family val="2"/>
    </font>
    <font>
      <b/>
      <sz val="10"/>
      <name val="Arial Black"/>
      <family val="2"/>
    </font>
    <font>
      <b/>
      <sz val="11"/>
      <color rgb="FF3F3F3F"/>
      <name val="Calibri"/>
      <family val="2"/>
      <scheme val="minor"/>
    </font>
    <font>
      <b/>
      <sz val="9"/>
      <name val="Arial"/>
      <family val="2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i/>
      <sz val="10"/>
      <name val="Arial Black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1"/>
      <color rgb="FFFF0000"/>
      <name val="Calibri"/>
      <family val="2"/>
      <scheme val="minor"/>
    </font>
    <font>
      <u/>
      <sz val="10"/>
      <color theme="10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6"/>
      <color indexed="8"/>
      <name val="Calibri"/>
      <family val="2"/>
      <scheme val="minor"/>
    </font>
    <font>
      <b/>
      <sz val="16"/>
      <color indexed="8"/>
      <name val="Calibri"/>
      <family val="2"/>
      <scheme val="minor"/>
    </font>
    <font>
      <b/>
      <sz val="18"/>
      <color indexed="8"/>
      <name val="Calibri"/>
      <family val="2"/>
      <scheme val="minor"/>
    </font>
    <font>
      <sz val="14"/>
      <color indexed="8"/>
      <name val="Calibri"/>
      <family val="2"/>
      <scheme val="minor"/>
    </font>
    <font>
      <sz val="12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9"/>
      <color indexed="8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u/>
      <sz val="10"/>
      <color indexed="8"/>
      <name val="Calibri"/>
      <family val="2"/>
      <scheme val="minor"/>
    </font>
    <font>
      <u/>
      <sz val="14"/>
      <color indexed="8"/>
      <name val="Calibri"/>
      <family val="2"/>
      <scheme val="minor"/>
    </font>
    <font>
      <b/>
      <sz val="14"/>
      <color indexed="8"/>
      <name val="Calibri"/>
      <family val="2"/>
      <scheme val="minor"/>
    </font>
    <font>
      <b/>
      <sz val="13"/>
      <color indexed="8"/>
      <name val="Calibri"/>
      <family val="2"/>
      <scheme val="minor"/>
    </font>
    <font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CC99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0">
    <xf numFmtId="0" fontId="0" fillId="0" borderId="0"/>
    <xf numFmtId="0" fontId="7" fillId="0" borderId="0" applyNumberFormat="0" applyFill="0" applyBorder="0" applyAlignment="0" applyProtection="0"/>
    <xf numFmtId="0" fontId="3" fillId="2" borderId="6" applyNumberFormat="0" applyFont="0" applyAlignment="0" applyProtection="0"/>
    <xf numFmtId="0" fontId="10" fillId="3" borderId="13" applyNumberFormat="0" applyAlignment="0" applyProtection="0"/>
    <xf numFmtId="0" fontId="12" fillId="4" borderId="0" applyNumberFormat="0" applyBorder="0" applyAlignment="0" applyProtection="0"/>
    <xf numFmtId="0" fontId="13" fillId="5" borderId="21" applyNumberFormat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" fillId="0" borderId="0"/>
    <xf numFmtId="0" fontId="19" fillId="0" borderId="0" applyNumberFormat="0" applyFill="0" applyBorder="0" applyAlignment="0" applyProtection="0"/>
  </cellStyleXfs>
  <cellXfs count="185">
    <xf numFmtId="0" fontId="0" fillId="0" borderId="0" xfId="0"/>
    <xf numFmtId="49" fontId="0" fillId="0" borderId="0" xfId="0" applyNumberFormat="1"/>
    <xf numFmtId="0" fontId="7" fillId="0" borderId="0" xfId="1"/>
    <xf numFmtId="0" fontId="0" fillId="2" borderId="6" xfId="2" applyFont="1"/>
    <xf numFmtId="49" fontId="4" fillId="0" borderId="1" xfId="0" applyNumberFormat="1" applyFont="1" applyBorder="1" applyAlignment="1">
      <alignment horizontal="right"/>
    </xf>
    <xf numFmtId="49" fontId="0" fillId="0" borderId="5" xfId="0" applyNumberFormat="1" applyBorder="1" applyAlignment="1">
      <alignment horizontal="left"/>
    </xf>
    <xf numFmtId="49" fontId="4" fillId="0" borderId="5" xfId="0" applyNumberFormat="1" applyFont="1" applyBorder="1"/>
    <xf numFmtId="49" fontId="4" fillId="0" borderId="1" xfId="0" applyNumberFormat="1" applyFont="1" applyBorder="1" applyAlignment="1">
      <alignment horizontal="center"/>
    </xf>
    <xf numFmtId="49" fontId="8" fillId="0" borderId="5" xfId="0" applyNumberFormat="1" applyFont="1" applyBorder="1"/>
    <xf numFmtId="49" fontId="8" fillId="0" borderId="7" xfId="0" applyNumberFormat="1" applyFont="1" applyBorder="1" applyAlignment="1">
      <alignment horizontal="left"/>
    </xf>
    <xf numFmtId="49" fontId="4" fillId="0" borderId="5" xfId="0" applyNumberFormat="1" applyFont="1" applyBorder="1" applyAlignment="1">
      <alignment horizontal="center"/>
    </xf>
    <xf numFmtId="0" fontId="0" fillId="0" borderId="1" xfId="0" applyBorder="1"/>
    <xf numFmtId="49" fontId="9" fillId="0" borderId="1" xfId="0" applyNumberFormat="1" applyFont="1" applyBorder="1"/>
    <xf numFmtId="49" fontId="0" fillId="0" borderId="1" xfId="0" applyNumberForma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10" fillId="3" borderId="13" xfId="3"/>
    <xf numFmtId="0" fontId="10" fillId="3" borderId="13" xfId="3" applyNumberFormat="1"/>
    <xf numFmtId="0" fontId="7" fillId="0" borderId="0" xfId="1" applyNumberFormat="1"/>
    <xf numFmtId="0" fontId="0" fillId="2" borderId="6" xfId="2" applyNumberFormat="1" applyFont="1"/>
    <xf numFmtId="49" fontId="0" fillId="0" borderId="1" xfId="0" applyNumberFormat="1" applyBorder="1"/>
    <xf numFmtId="49" fontId="4" fillId="0" borderId="4" xfId="0" applyNumberFormat="1" applyFont="1" applyBorder="1" applyAlignment="1">
      <alignment horizontal="center" vertical="center"/>
    </xf>
    <xf numFmtId="49" fontId="4" fillId="0" borderId="1" xfId="0" applyNumberFormat="1" applyFont="1" applyBorder="1"/>
    <xf numFmtId="0" fontId="0" fillId="0" borderId="14" xfId="0" applyBorder="1"/>
    <xf numFmtId="0" fontId="0" fillId="0" borderId="15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3" fillId="5" borderId="21" xfId="5"/>
    <xf numFmtId="0" fontId="12" fillId="4" borderId="1" xfId="4" applyBorder="1"/>
    <xf numFmtId="0" fontId="4" fillId="0" borderId="1" xfId="0" applyFont="1" applyBorder="1" applyAlignment="1">
      <alignment horizontal="center"/>
    </xf>
    <xf numFmtId="164" fontId="14" fillId="0" borderId="1" xfId="0" applyNumberFormat="1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5" xfId="0" applyBorder="1"/>
    <xf numFmtId="164" fontId="0" fillId="0" borderId="5" xfId="0" applyNumberFormat="1" applyBorder="1" applyAlignment="1">
      <alignment horizontal="center"/>
    </xf>
    <xf numFmtId="0" fontId="3" fillId="0" borderId="5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64" fontId="14" fillId="0" borderId="5" xfId="0" applyNumberFormat="1" applyFont="1" applyBorder="1" applyAlignment="1">
      <alignment horizontal="center"/>
    </xf>
    <xf numFmtId="0" fontId="3" fillId="0" borderId="5" xfId="0" applyFont="1" applyBorder="1"/>
    <xf numFmtId="164" fontId="0" fillId="0" borderId="0" xfId="0" applyNumberFormat="1" applyAlignment="1">
      <alignment horizontal="center"/>
    </xf>
    <xf numFmtId="0" fontId="4" fillId="0" borderId="5" xfId="0" applyFont="1" applyBorder="1"/>
    <xf numFmtId="164" fontId="4" fillId="0" borderId="1" xfId="0" applyNumberFormat="1" applyFont="1" applyBorder="1" applyAlignment="1">
      <alignment horizontal="center"/>
    </xf>
    <xf numFmtId="0" fontId="17" fillId="3" borderId="13" xfId="6" applyFill="1" applyBorder="1"/>
    <xf numFmtId="0" fontId="5" fillId="0" borderId="5" xfId="0" applyFont="1" applyBorder="1"/>
    <xf numFmtId="49" fontId="4" fillId="0" borderId="5" xfId="0" applyNumberFormat="1" applyFont="1" applyBorder="1" applyAlignment="1">
      <alignment horizontal="right"/>
    </xf>
    <xf numFmtId="0" fontId="0" fillId="0" borderId="8" xfId="0" applyBorder="1"/>
    <xf numFmtId="0" fontId="0" fillId="0" borderId="9" xfId="0" applyBorder="1"/>
    <xf numFmtId="0" fontId="0" fillId="0" borderId="12" xfId="0" applyBorder="1"/>
    <xf numFmtId="0" fontId="18" fillId="0" borderId="3" xfId="7" applyBorder="1" applyAlignment="1">
      <alignment horizontal="right"/>
    </xf>
    <xf numFmtId="0" fontId="12" fillId="4" borderId="19" xfId="4" applyBorder="1"/>
    <xf numFmtId="0" fontId="12" fillId="4" borderId="20" xfId="4" applyBorder="1"/>
    <xf numFmtId="0" fontId="0" fillId="0" borderId="24" xfId="0" applyBorder="1"/>
    <xf numFmtId="0" fontId="0" fillId="0" borderId="27" xfId="0" applyBorder="1"/>
    <xf numFmtId="0" fontId="8" fillId="0" borderId="1" xfId="0" applyFont="1" applyBorder="1"/>
    <xf numFmtId="0" fontId="4" fillId="0" borderId="1" xfId="0" applyFont="1" applyBorder="1"/>
    <xf numFmtId="49" fontId="4" fillId="0" borderId="1" xfId="0" applyNumberFormat="1" applyFont="1" applyBorder="1" applyAlignment="1">
      <alignment horizontal="center" vertical="center"/>
    </xf>
    <xf numFmtId="0" fontId="0" fillId="0" borderId="4" xfId="0" applyBorder="1"/>
    <xf numFmtId="0" fontId="0" fillId="0" borderId="28" xfId="0" applyBorder="1"/>
    <xf numFmtId="0" fontId="4" fillId="0" borderId="0" xfId="0" applyFont="1"/>
    <xf numFmtId="49" fontId="0" fillId="0" borderId="2" xfId="0" applyNumberFormat="1" applyBorder="1"/>
    <xf numFmtId="49" fontId="0" fillId="0" borderId="5" xfId="0" applyNumberFormat="1" applyBorder="1" applyAlignment="1" applyProtection="1">
      <alignment horizontal="left"/>
      <protection locked="0"/>
    </xf>
    <xf numFmtId="0" fontId="0" fillId="0" borderId="5" xfId="0" applyBorder="1" applyAlignment="1" applyProtection="1">
      <alignment horizontal="left"/>
      <protection locked="0"/>
    </xf>
    <xf numFmtId="0" fontId="18" fillId="0" borderId="0" xfId="7"/>
    <xf numFmtId="0" fontId="12" fillId="4" borderId="0" xfId="4"/>
    <xf numFmtId="0" fontId="29" fillId="0" borderId="35" xfId="8" applyFont="1" applyBorder="1" applyAlignment="1">
      <alignment vertical="top"/>
    </xf>
    <xf numFmtId="0" fontId="27" fillId="0" borderId="30" xfId="8" applyFont="1" applyBorder="1" applyAlignment="1">
      <alignment horizontal="left" vertical="top"/>
    </xf>
    <xf numFmtId="0" fontId="1" fillId="0" borderId="32" xfId="8" applyFont="1" applyBorder="1" applyAlignment="1">
      <alignment vertical="center"/>
    </xf>
    <xf numFmtId="0" fontId="1" fillId="0" borderId="33" xfId="8" applyFont="1" applyBorder="1" applyAlignment="1">
      <alignment vertical="center"/>
    </xf>
    <xf numFmtId="0" fontId="25" fillId="0" borderId="0" xfId="8" applyFont="1" applyAlignment="1">
      <alignment vertical="center"/>
    </xf>
    <xf numFmtId="0" fontId="1" fillId="0" borderId="34" xfId="8" applyFont="1" applyBorder="1" applyAlignment="1">
      <alignment vertical="center"/>
    </xf>
    <xf numFmtId="0" fontId="27" fillId="0" borderId="35" xfId="8" applyFont="1" applyBorder="1" applyAlignment="1">
      <alignment vertical="center"/>
    </xf>
    <xf numFmtId="0" fontId="1" fillId="0" borderId="35" xfId="8" applyFont="1" applyBorder="1" applyAlignment="1">
      <alignment vertical="center"/>
    </xf>
    <xf numFmtId="0" fontId="28" fillId="0" borderId="35" xfId="8" applyFont="1" applyBorder="1" applyAlignment="1">
      <alignment vertical="center"/>
    </xf>
    <xf numFmtId="0" fontId="1" fillId="0" borderId="36" xfId="8" applyFont="1" applyBorder="1" applyAlignment="1">
      <alignment vertical="center"/>
    </xf>
    <xf numFmtId="0" fontId="1" fillId="0" borderId="0" xfId="8" applyFont="1" applyAlignment="1">
      <alignment vertical="top"/>
    </xf>
    <xf numFmtId="0" fontId="21" fillId="0" borderId="0" xfId="0" applyFont="1" applyAlignment="1">
      <alignment vertical="top"/>
    </xf>
    <xf numFmtId="0" fontId="1" fillId="0" borderId="32" xfId="8" applyFont="1" applyBorder="1" applyAlignment="1">
      <alignment vertical="top"/>
    </xf>
    <xf numFmtId="0" fontId="1" fillId="0" borderId="33" xfId="8" applyFont="1" applyBorder="1" applyAlignment="1">
      <alignment vertical="top"/>
    </xf>
    <xf numFmtId="0" fontId="25" fillId="0" borderId="0" xfId="8" applyFont="1" applyAlignment="1">
      <alignment vertical="top"/>
    </xf>
    <xf numFmtId="0" fontId="12" fillId="4" borderId="0" xfId="4" applyAlignment="1">
      <alignment vertical="top"/>
    </xf>
    <xf numFmtId="0" fontId="1" fillId="0" borderId="34" xfId="8" applyFont="1" applyBorder="1" applyAlignment="1">
      <alignment vertical="top"/>
    </xf>
    <xf numFmtId="0" fontId="27" fillId="0" borderId="35" xfId="8" applyFont="1" applyBorder="1" applyAlignment="1">
      <alignment vertical="top"/>
    </xf>
    <xf numFmtId="0" fontId="1" fillId="0" borderId="35" xfId="8" applyFont="1" applyBorder="1" applyAlignment="1">
      <alignment vertical="top"/>
    </xf>
    <xf numFmtId="0" fontId="1" fillId="0" borderId="36" xfId="8" applyFont="1" applyBorder="1" applyAlignment="1">
      <alignment vertical="top"/>
    </xf>
    <xf numFmtId="0" fontId="25" fillId="0" borderId="32" xfId="8" applyFont="1" applyBorder="1" applyAlignment="1">
      <alignment vertical="top"/>
    </xf>
    <xf numFmtId="0" fontId="25" fillId="0" borderId="37" xfId="8" applyFont="1" applyBorder="1" applyAlignment="1">
      <alignment vertical="top"/>
    </xf>
    <xf numFmtId="0" fontId="26" fillId="0" borderId="0" xfId="8" applyFont="1" applyAlignment="1">
      <alignment vertical="top"/>
    </xf>
    <xf numFmtId="0" fontId="25" fillId="0" borderId="33" xfId="8" applyFont="1" applyBorder="1" applyAlignment="1">
      <alignment vertical="top"/>
    </xf>
    <xf numFmtId="0" fontId="25" fillId="0" borderId="40" xfId="8" applyFont="1" applyBorder="1" applyAlignment="1">
      <alignment vertical="top"/>
    </xf>
    <xf numFmtId="0" fontId="27" fillId="0" borderId="0" xfId="8" applyFont="1" applyAlignment="1">
      <alignment vertical="top"/>
    </xf>
    <xf numFmtId="0" fontId="30" fillId="0" borderId="0" xfId="8" applyFont="1" applyAlignment="1">
      <alignment vertical="top"/>
    </xf>
    <xf numFmtId="0" fontId="31" fillId="0" borderId="0" xfId="8" applyFont="1" applyAlignment="1">
      <alignment vertical="top"/>
    </xf>
    <xf numFmtId="0" fontId="1" fillId="0" borderId="40" xfId="8" applyFont="1" applyBorder="1" applyAlignment="1">
      <alignment vertical="top"/>
    </xf>
    <xf numFmtId="0" fontId="26" fillId="0" borderId="35" xfId="8" applyFont="1" applyBorder="1" applyAlignment="1">
      <alignment vertical="top"/>
    </xf>
    <xf numFmtId="0" fontId="1" fillId="0" borderId="29" xfId="8" applyFont="1" applyBorder="1" applyAlignment="1">
      <alignment vertical="top"/>
    </xf>
    <xf numFmtId="0" fontId="1" fillId="0" borderId="30" xfId="8" applyFont="1" applyBorder="1" applyAlignment="1">
      <alignment vertical="top"/>
    </xf>
    <xf numFmtId="0" fontId="27" fillId="0" borderId="30" xfId="8" applyFont="1" applyBorder="1" applyAlignment="1">
      <alignment vertical="top"/>
    </xf>
    <xf numFmtId="0" fontId="20" fillId="0" borderId="30" xfId="8" applyFont="1" applyBorder="1" applyAlignment="1">
      <alignment vertical="top"/>
    </xf>
    <xf numFmtId="0" fontId="1" fillId="0" borderId="31" xfId="8" applyFont="1" applyBorder="1" applyAlignment="1">
      <alignment vertical="top"/>
    </xf>
    <xf numFmtId="0" fontId="1" fillId="0" borderId="1" xfId="8" applyFont="1" applyBorder="1" applyAlignment="1">
      <alignment horizontal="center" vertical="top"/>
    </xf>
    <xf numFmtId="0" fontId="1" fillId="0" borderId="1" xfId="8" applyFont="1" applyBorder="1" applyAlignment="1">
      <alignment vertical="top"/>
    </xf>
    <xf numFmtId="0" fontId="1" fillId="0" borderId="41" xfId="8" applyFont="1" applyBorder="1" applyAlignment="1">
      <alignment vertical="top"/>
    </xf>
    <xf numFmtId="0" fontId="29" fillId="0" borderId="35" xfId="8" applyFont="1" applyBorder="1" applyAlignment="1">
      <alignment vertical="top" wrapText="1"/>
    </xf>
    <xf numFmtId="0" fontId="20" fillId="0" borderId="1" xfId="8" applyFont="1" applyBorder="1" applyAlignment="1">
      <alignment vertical="top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32" fillId="0" borderId="0" xfId="8" applyFont="1" applyAlignment="1">
      <alignment vertical="center"/>
    </xf>
    <xf numFmtId="0" fontId="34" fillId="0" borderId="0" xfId="0" applyFont="1" applyAlignment="1">
      <alignment vertical="center"/>
    </xf>
    <xf numFmtId="0" fontId="26" fillId="0" borderId="0" xfId="8" applyFont="1" applyAlignment="1">
      <alignment vertical="center"/>
    </xf>
    <xf numFmtId="0" fontId="20" fillId="0" borderId="35" xfId="8" applyFont="1" applyBorder="1" applyAlignment="1">
      <alignment vertical="top"/>
    </xf>
    <xf numFmtId="0" fontId="20" fillId="0" borderId="0" xfId="8" applyFont="1" applyAlignment="1">
      <alignment vertical="top"/>
    </xf>
    <xf numFmtId="0" fontId="1" fillId="0" borderId="0" xfId="8" applyFont="1" applyAlignment="1">
      <alignment vertical="center"/>
    </xf>
    <xf numFmtId="0" fontId="28" fillId="0" borderId="0" xfId="8" applyFont="1" applyAlignment="1">
      <alignment vertical="center"/>
    </xf>
    <xf numFmtId="0" fontId="1" fillId="0" borderId="43" xfId="8" applyFont="1" applyBorder="1" applyAlignment="1">
      <alignment vertical="center"/>
    </xf>
    <xf numFmtId="0" fontId="18" fillId="0" borderId="1" xfId="7" applyBorder="1"/>
    <xf numFmtId="49" fontId="4" fillId="0" borderId="4" xfId="0" applyNumberFormat="1" applyFont="1" applyBorder="1" applyAlignment="1">
      <alignment horizontal="center"/>
    </xf>
    <xf numFmtId="0" fontId="0" fillId="0" borderId="0" xfId="0"/>
    <xf numFmtId="49" fontId="4" fillId="0" borderId="5" xfId="0" applyNumberFormat="1" applyFont="1" applyBorder="1" applyAlignment="1">
      <alignment horizontal="right"/>
    </xf>
    <xf numFmtId="49" fontId="4" fillId="0" borderId="2" xfId="0" applyNumberFormat="1" applyFont="1" applyBorder="1" applyAlignment="1">
      <alignment horizontal="right"/>
    </xf>
    <xf numFmtId="49" fontId="11" fillId="0" borderId="7" xfId="0" applyNumberFormat="1" applyFont="1" applyBorder="1" applyAlignment="1">
      <alignment horizontal="center" wrapText="1"/>
    </xf>
    <xf numFmtId="49" fontId="11" fillId="0" borderId="8" xfId="0" applyNumberFormat="1" applyFont="1" applyBorder="1" applyAlignment="1">
      <alignment horizontal="center" wrapText="1"/>
    </xf>
    <xf numFmtId="49" fontId="11" fillId="0" borderId="9" xfId="0" applyNumberFormat="1" applyFont="1" applyBorder="1" applyAlignment="1">
      <alignment horizontal="center" wrapText="1"/>
    </xf>
    <xf numFmtId="49" fontId="11" fillId="0" borderId="10" xfId="0" applyNumberFormat="1" applyFont="1" applyBorder="1" applyAlignment="1">
      <alignment horizontal="center" wrapText="1"/>
    </xf>
    <xf numFmtId="49" fontId="11" fillId="0" borderId="11" xfId="0" applyNumberFormat="1" applyFont="1" applyBorder="1" applyAlignment="1">
      <alignment horizontal="center" wrapText="1"/>
    </xf>
    <xf numFmtId="49" fontId="11" fillId="0" borderId="12" xfId="0" applyNumberFormat="1" applyFont="1" applyBorder="1" applyAlignment="1">
      <alignment horizontal="center" wrapText="1"/>
    </xf>
    <xf numFmtId="0" fontId="26" fillId="0" borderId="0" xfId="8" applyFont="1" applyAlignment="1">
      <alignment horizontal="left" vertical="center"/>
    </xf>
    <xf numFmtId="0" fontId="32" fillId="0" borderId="0" xfId="8" applyFont="1" applyAlignment="1">
      <alignment horizontal="left" vertical="center"/>
    </xf>
    <xf numFmtId="0" fontId="34" fillId="0" borderId="0" xfId="0" applyFont="1" applyAlignment="1">
      <alignment horizontal="left" vertical="center"/>
    </xf>
    <xf numFmtId="0" fontId="1" fillId="0" borderId="35" xfId="8" applyFont="1" applyBorder="1" applyAlignment="1">
      <alignment horizontal="center" vertical="top"/>
    </xf>
    <xf numFmtId="0" fontId="20" fillId="0" borderId="0" xfId="8" applyFont="1" applyAlignment="1">
      <alignment horizontal="center" vertical="top"/>
    </xf>
    <xf numFmtId="0" fontId="20" fillId="0" borderId="0" xfId="8" applyFont="1" applyAlignment="1">
      <alignment horizontal="left" vertical="top"/>
    </xf>
    <xf numFmtId="0" fontId="29" fillId="0" borderId="38" xfId="8" applyFont="1" applyBorder="1" applyAlignment="1">
      <alignment vertical="top" wrapText="1"/>
    </xf>
    <xf numFmtId="0" fontId="29" fillId="0" borderId="0" xfId="8" applyFont="1" applyAlignment="1">
      <alignment vertical="top" wrapText="1"/>
    </xf>
    <xf numFmtId="0" fontId="29" fillId="0" borderId="39" xfId="8" applyFont="1" applyBorder="1" applyAlignment="1">
      <alignment vertical="top" wrapText="1"/>
    </xf>
    <xf numFmtId="0" fontId="27" fillId="0" borderId="38" xfId="8" applyFont="1" applyBorder="1" applyAlignment="1">
      <alignment horizontal="left" vertical="top" wrapText="1"/>
    </xf>
    <xf numFmtId="0" fontId="27" fillId="0" borderId="0" xfId="8" applyFont="1" applyAlignment="1">
      <alignment horizontal="left" vertical="top" wrapText="1"/>
    </xf>
    <xf numFmtId="0" fontId="27" fillId="0" borderId="39" xfId="8" applyFont="1" applyBorder="1" applyAlignment="1">
      <alignment horizontal="left" vertical="top" wrapText="1"/>
    </xf>
    <xf numFmtId="0" fontId="27" fillId="0" borderId="10" xfId="8" applyFont="1" applyBorder="1" applyAlignment="1">
      <alignment horizontal="left" vertical="top" wrapText="1"/>
    </xf>
    <xf numFmtId="0" fontId="27" fillId="0" borderId="11" xfId="8" applyFont="1" applyBorder="1" applyAlignment="1">
      <alignment horizontal="left" vertical="top" wrapText="1"/>
    </xf>
    <xf numFmtId="0" fontId="27" fillId="0" borderId="12" xfId="8" applyFont="1" applyBorder="1" applyAlignment="1">
      <alignment horizontal="left" vertical="top" wrapText="1"/>
    </xf>
    <xf numFmtId="0" fontId="29" fillId="0" borderId="10" xfId="8" applyFont="1" applyBorder="1" applyAlignment="1">
      <alignment vertical="top" wrapText="1"/>
    </xf>
    <xf numFmtId="0" fontId="29" fillId="0" borderId="11" xfId="8" applyFont="1" applyBorder="1" applyAlignment="1">
      <alignment vertical="top" wrapText="1"/>
    </xf>
    <xf numFmtId="0" fontId="29" fillId="0" borderId="12" xfId="8" applyFont="1" applyBorder="1" applyAlignment="1">
      <alignment vertical="top" wrapText="1"/>
    </xf>
    <xf numFmtId="0" fontId="1" fillId="0" borderId="0" xfId="8" applyFont="1" applyAlignment="1">
      <alignment horizontal="left" vertical="top"/>
    </xf>
    <xf numFmtId="0" fontId="1" fillId="0" borderId="35" xfId="8" applyFont="1" applyBorder="1" applyAlignment="1">
      <alignment horizontal="left" vertical="top"/>
    </xf>
    <xf numFmtId="0" fontId="27" fillId="0" borderId="30" xfId="8" applyFont="1" applyBorder="1" applyAlignment="1">
      <alignment vertical="top"/>
    </xf>
    <xf numFmtId="0" fontId="20" fillId="0" borderId="42" xfId="8" applyFont="1" applyBorder="1" applyAlignment="1">
      <alignment horizontal="center" vertical="top"/>
    </xf>
    <xf numFmtId="0" fontId="27" fillId="0" borderId="7" xfId="8" applyFont="1" applyBorder="1" applyAlignment="1">
      <alignment horizontal="left" vertical="top" wrapText="1"/>
    </xf>
    <xf numFmtId="0" fontId="27" fillId="0" borderId="8" xfId="8" applyFont="1" applyBorder="1" applyAlignment="1">
      <alignment horizontal="left" vertical="top" wrapText="1"/>
    </xf>
    <xf numFmtId="0" fontId="27" fillId="0" borderId="9" xfId="8" applyFont="1" applyBorder="1" applyAlignment="1">
      <alignment horizontal="left" vertical="top" wrapText="1"/>
    </xf>
    <xf numFmtId="0" fontId="29" fillId="0" borderId="7" xfId="8" applyFont="1" applyBorder="1" applyAlignment="1">
      <alignment vertical="top" wrapText="1"/>
    </xf>
    <xf numFmtId="0" fontId="29" fillId="0" borderId="8" xfId="8" applyFont="1" applyBorder="1" applyAlignment="1">
      <alignment vertical="top" wrapText="1"/>
    </xf>
    <xf numFmtId="0" fontId="29" fillId="0" borderId="9" xfId="8" applyFont="1" applyBorder="1" applyAlignment="1">
      <alignment vertical="top" wrapText="1"/>
    </xf>
    <xf numFmtId="0" fontId="29" fillId="0" borderId="38" xfId="8" applyFont="1" applyBorder="1" applyAlignment="1">
      <alignment horizontal="left" vertical="top"/>
    </xf>
    <xf numFmtId="0" fontId="29" fillId="0" borderId="0" xfId="8" applyFont="1" applyAlignment="1">
      <alignment horizontal="left" vertical="top"/>
    </xf>
    <xf numFmtId="0" fontId="29" fillId="0" borderId="39" xfId="8" applyFont="1" applyBorder="1" applyAlignment="1">
      <alignment horizontal="left" vertical="top"/>
    </xf>
    <xf numFmtId="0" fontId="1" fillId="0" borderId="29" xfId="8" applyFont="1" applyBorder="1" applyAlignment="1">
      <alignment horizontal="center" vertical="center"/>
    </xf>
    <xf numFmtId="0" fontId="1" fillId="0" borderId="30" xfId="8" applyFont="1" applyBorder="1" applyAlignment="1">
      <alignment horizontal="center" vertical="center"/>
    </xf>
    <xf numFmtId="0" fontId="1" fillId="0" borderId="31" xfId="8" applyFont="1" applyBorder="1" applyAlignment="1">
      <alignment horizontal="center" vertical="center"/>
    </xf>
    <xf numFmtId="0" fontId="1" fillId="0" borderId="1" xfId="8" applyFont="1" applyBorder="1" applyAlignment="1">
      <alignment horizontal="center" vertical="top"/>
    </xf>
    <xf numFmtId="0" fontId="33" fillId="0" borderId="0" xfId="8" applyFont="1" applyAlignment="1">
      <alignment horizontal="left" vertical="center"/>
    </xf>
    <xf numFmtId="0" fontId="23" fillId="0" borderId="0" xfId="8" applyFont="1" applyAlignment="1">
      <alignment horizontal="center" vertical="center"/>
    </xf>
    <xf numFmtId="0" fontId="22" fillId="0" borderId="0" xfId="8" applyFont="1" applyAlignment="1">
      <alignment horizontal="center" vertical="center"/>
    </xf>
    <xf numFmtId="0" fontId="0" fillId="0" borderId="0" xfId="0" applyAlignment="1">
      <alignment horizontal="center"/>
    </xf>
    <xf numFmtId="0" fontId="12" fillId="4" borderId="16" xfId="4" applyBorder="1" applyAlignment="1">
      <alignment horizontal="center"/>
    </xf>
    <xf numFmtId="0" fontId="12" fillId="4" borderId="17" xfId="4" applyBorder="1" applyAlignment="1">
      <alignment horizontal="center"/>
    </xf>
    <xf numFmtId="0" fontId="12" fillId="4" borderId="18" xfId="4" applyBorder="1" applyAlignment="1">
      <alignment horizontal="center"/>
    </xf>
    <xf numFmtId="0" fontId="12" fillId="4" borderId="19" xfId="4" applyBorder="1" applyAlignment="1">
      <alignment horizontal="center"/>
    </xf>
    <xf numFmtId="0" fontId="12" fillId="4" borderId="1" xfId="4" applyBorder="1" applyAlignment="1">
      <alignment horizontal="center"/>
    </xf>
    <xf numFmtId="0" fontId="12" fillId="4" borderId="20" xfId="4" applyBorder="1" applyAlignment="1">
      <alignment horizontal="center"/>
    </xf>
    <xf numFmtId="0" fontId="12" fillId="4" borderId="22" xfId="4" applyBorder="1" applyAlignment="1">
      <alignment horizontal="center"/>
    </xf>
    <xf numFmtId="0" fontId="12" fillId="4" borderId="4" xfId="4" applyBorder="1" applyAlignment="1">
      <alignment horizontal="center"/>
    </xf>
    <xf numFmtId="0" fontId="12" fillId="4" borderId="23" xfId="4" applyBorder="1" applyAlignment="1">
      <alignment horizontal="center"/>
    </xf>
    <xf numFmtId="0" fontId="6" fillId="0" borderId="7" xfId="0" applyFont="1" applyBorder="1" applyAlignment="1">
      <alignment horizontal="center" wrapText="1"/>
    </xf>
    <xf numFmtId="0" fontId="6" fillId="0" borderId="8" xfId="0" applyFont="1" applyBorder="1" applyAlignment="1">
      <alignment horizontal="center" wrapText="1"/>
    </xf>
    <xf numFmtId="0" fontId="6" fillId="0" borderId="9" xfId="0" applyFont="1" applyBorder="1" applyAlignment="1">
      <alignment horizontal="center" wrapText="1"/>
    </xf>
    <xf numFmtId="0" fontId="6" fillId="0" borderId="10" xfId="0" applyFont="1" applyBorder="1" applyAlignment="1">
      <alignment horizontal="center" wrapText="1"/>
    </xf>
    <xf numFmtId="0" fontId="6" fillId="0" borderId="11" xfId="0" applyFont="1" applyBorder="1" applyAlignment="1">
      <alignment horizontal="center" wrapText="1"/>
    </xf>
    <xf numFmtId="0" fontId="6" fillId="0" borderId="12" xfId="0" applyFont="1" applyBorder="1" applyAlignment="1">
      <alignment horizontal="center" wrapText="1"/>
    </xf>
    <xf numFmtId="0" fontId="12" fillId="4" borderId="25" xfId="4" applyBorder="1" applyAlignment="1">
      <alignment horizontal="center"/>
    </xf>
    <xf numFmtId="0" fontId="12" fillId="4" borderId="26" xfId="4" applyBorder="1" applyAlignment="1">
      <alignment horizontal="center"/>
    </xf>
    <xf numFmtId="0" fontId="12" fillId="4" borderId="27" xfId="4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10">
    <cellStyle name="Good" xfId="4" builtinId="26"/>
    <cellStyle name="Hyperlink" xfId="7" builtinId="8"/>
    <cellStyle name="Hyperlink 2" xfId="9" xr:uid="{EAC3E2CD-3C4C-492D-AFE1-2F75EC09FD31}"/>
    <cellStyle name="Input" xfId="5" builtinId="20"/>
    <cellStyle name="Normal" xfId="0" builtinId="0"/>
    <cellStyle name="Normal 2" xfId="8" xr:uid="{FD41AAE7-BDC0-4D7D-A6E6-726F758065AB}"/>
    <cellStyle name="Note" xfId="2" builtinId="10"/>
    <cellStyle name="Output" xfId="3" builtinId="21"/>
    <cellStyle name="Title" xfId="1" builtinId="15"/>
    <cellStyle name="Warning Text" xfId="6" builtinId="1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53288AX-10.pdf" TargetMode="External"/><Relationship Id="rId3" Type="http://schemas.openxmlformats.org/officeDocument/2006/relationships/hyperlink" Target="53280RX-106AL.pdf" TargetMode="External"/><Relationship Id="rId7" Type="http://schemas.openxmlformats.org/officeDocument/2006/relationships/hyperlink" Target="53286PX-10L.pdf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ABD%20Assembly-10106LTAG.EASM" TargetMode="External"/><Relationship Id="rId1" Type="http://schemas.openxmlformats.org/officeDocument/2006/relationships/hyperlink" Target="ABD%20Assembly-10106LTAG.pdf" TargetMode="External"/><Relationship Id="rId6" Type="http://schemas.openxmlformats.org/officeDocument/2006/relationships/hyperlink" Target="53285JX.pdf" TargetMode="External"/><Relationship Id="rId11" Type="http://schemas.openxmlformats.org/officeDocument/2006/relationships/hyperlink" Target="54103BX-10106.pdf" TargetMode="External"/><Relationship Id="rId5" Type="http://schemas.openxmlformats.org/officeDocument/2006/relationships/hyperlink" Target="53283BX.pdf" TargetMode="External"/><Relationship Id="rId10" Type="http://schemas.openxmlformats.org/officeDocument/2006/relationships/hyperlink" Target="54102SX-106.pdf" TargetMode="External"/><Relationship Id="rId4" Type="http://schemas.openxmlformats.org/officeDocument/2006/relationships/hyperlink" Target="53280SX-106.pdf" TargetMode="External"/><Relationship Id="rId9" Type="http://schemas.openxmlformats.org/officeDocument/2006/relationships/hyperlink" Target="54102BX-106TG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V27"/>
  <sheetViews>
    <sheetView tabSelected="1" topLeftCell="B3" zoomScale="115" zoomScaleNormal="115" workbookViewId="0">
      <selection activeCell="B4" sqref="B4:H27"/>
    </sheetView>
  </sheetViews>
  <sheetFormatPr defaultRowHeight="12.75" outlineLevelRow="2" x14ac:dyDescent="0.2"/>
  <cols>
    <col min="1" max="1" width="3.5703125" hidden="1" customWidth="1"/>
    <col min="2" max="2" width="13.85546875" bestFit="1" customWidth="1"/>
    <col min="3" max="3" width="12.28515625" bestFit="1" customWidth="1"/>
    <col min="4" max="4" width="12" bestFit="1" customWidth="1"/>
    <col min="5" max="5" width="23.85546875" bestFit="1" customWidth="1"/>
    <col min="6" max="6" width="5.42578125" bestFit="1" customWidth="1"/>
    <col min="7" max="7" width="10" customWidth="1"/>
    <col min="8" max="8" width="14.42578125" bestFit="1" customWidth="1"/>
    <col min="9" max="9" width="10.42578125" bestFit="1" customWidth="1"/>
    <col min="10" max="11" width="12" bestFit="1" customWidth="1"/>
    <col min="13" max="13" width="24.7109375" bestFit="1" customWidth="1"/>
    <col min="14" max="14" width="12.42578125" bestFit="1" customWidth="1"/>
    <col min="16" max="16" width="19" customWidth="1"/>
    <col min="17" max="17" width="17.7109375" customWidth="1"/>
    <col min="19" max="19" width="28.85546875" bestFit="1" customWidth="1"/>
  </cols>
  <sheetData>
    <row r="1" spans="1:22" hidden="1" x14ac:dyDescent="0.2">
      <c r="B1" s="62" t="s">
        <v>325</v>
      </c>
      <c r="C1" s="1" t="s">
        <v>286</v>
      </c>
      <c r="D1" s="1"/>
      <c r="E1" s="1" t="s">
        <v>282</v>
      </c>
      <c r="F1" s="1"/>
      <c r="G1" t="b">
        <v>0</v>
      </c>
      <c r="H1" s="1" t="s">
        <v>287</v>
      </c>
      <c r="I1" s="1" t="s">
        <v>287</v>
      </c>
      <c r="J1" s="1" t="s">
        <v>286</v>
      </c>
      <c r="K1" s="1" t="s">
        <v>321</v>
      </c>
      <c r="L1" s="1" t="s">
        <v>319</v>
      </c>
      <c r="M1" s="1" t="s">
        <v>288</v>
      </c>
      <c r="N1" s="1" t="s">
        <v>284</v>
      </c>
      <c r="O1" s="1"/>
      <c r="P1" s="1" t="s">
        <v>327</v>
      </c>
      <c r="Q1" s="106" t="s">
        <v>0</v>
      </c>
      <c r="R1" s="106" t="s">
        <v>1</v>
      </c>
      <c r="S1" s="106" t="s">
        <v>316</v>
      </c>
      <c r="T1" s="107" t="str">
        <f>LEFT(TextJobName,(Q2-(R2-S2)))</f>
        <v>Standard Product</v>
      </c>
    </row>
    <row r="2" spans="1:22" ht="36.75" hidden="1" customHeight="1" x14ac:dyDescent="0.2">
      <c r="B2" s="1" t="s">
        <v>283</v>
      </c>
      <c r="C2" s="1" t="s">
        <v>286</v>
      </c>
      <c r="D2" s="1"/>
      <c r="E2" s="1" t="s">
        <v>331</v>
      </c>
      <c r="F2" s="1"/>
      <c r="G2" s="1" t="s">
        <v>287</v>
      </c>
      <c r="H2" s="1" t="s">
        <v>287</v>
      </c>
      <c r="I2" s="1" t="s">
        <v>286</v>
      </c>
      <c r="J2" s="1" t="s">
        <v>287</v>
      </c>
      <c r="K2" s="1" t="s">
        <v>326</v>
      </c>
      <c r="L2" s="1"/>
      <c r="M2" s="1" t="s">
        <v>324</v>
      </c>
      <c r="N2" s="1" t="s">
        <v>285</v>
      </c>
      <c r="O2" s="1"/>
      <c r="Q2" s="107">
        <f>LEN(TextJobName)</f>
        <v>16</v>
      </c>
      <c r="R2" s="107">
        <f>LEN(TextSerialNo)</f>
        <v>0</v>
      </c>
      <c r="S2" s="107">
        <f>LEN(TextCode)</f>
        <v>0</v>
      </c>
      <c r="T2" s="107">
        <f>LEN(T1)</f>
        <v>16</v>
      </c>
      <c r="V2" t="s">
        <v>329</v>
      </c>
    </row>
    <row r="3" spans="1:22" x14ac:dyDescent="0.2">
      <c r="A3" s="118"/>
      <c r="B3" s="118"/>
      <c r="C3" s="118"/>
      <c r="D3" s="118"/>
      <c r="E3" s="118"/>
      <c r="F3" s="118"/>
      <c r="G3" s="118"/>
      <c r="H3" s="118"/>
    </row>
    <row r="4" spans="1:22" ht="18" x14ac:dyDescent="0.25">
      <c r="A4" s="118"/>
      <c r="B4" s="4" t="s">
        <v>0</v>
      </c>
      <c r="C4" s="9" t="s">
        <v>328</v>
      </c>
      <c r="D4" s="14"/>
      <c r="E4" s="14"/>
      <c r="F4" s="14"/>
      <c r="G4" s="47"/>
      <c r="H4" s="48"/>
      <c r="I4" t="s">
        <v>292</v>
      </c>
      <c r="J4" s="65" t="s">
        <v>298</v>
      </c>
      <c r="O4" s="107"/>
    </row>
    <row r="5" spans="1:22" ht="18" x14ac:dyDescent="0.25">
      <c r="A5" s="118"/>
      <c r="B5" s="4" t="s">
        <v>58</v>
      </c>
      <c r="C5" s="8" t="s">
        <v>333</v>
      </c>
      <c r="D5" s="14"/>
      <c r="E5" s="14"/>
      <c r="F5" s="46" t="s">
        <v>290</v>
      </c>
      <c r="G5" s="45"/>
      <c r="H5" s="50" t="s">
        <v>351</v>
      </c>
      <c r="I5" t="s">
        <v>289</v>
      </c>
      <c r="J5" s="64" t="s">
        <v>351</v>
      </c>
    </row>
    <row r="6" spans="1:22" x14ac:dyDescent="0.2">
      <c r="A6" s="118"/>
      <c r="B6" s="4" t="s">
        <v>1</v>
      </c>
      <c r="C6" s="5" t="s">
        <v>323</v>
      </c>
      <c r="D6" s="14"/>
      <c r="E6" s="15"/>
      <c r="F6" s="4" t="s">
        <v>11</v>
      </c>
      <c r="G6" s="61" t="s">
        <v>323</v>
      </c>
      <c r="H6" s="49"/>
    </row>
    <row r="7" spans="1:22" x14ac:dyDescent="0.2">
      <c r="A7" s="118"/>
      <c r="B7" s="4" t="s">
        <v>2</v>
      </c>
      <c r="C7" s="6" t="s">
        <v>332</v>
      </c>
      <c r="D7" s="14"/>
      <c r="E7" s="15"/>
      <c r="F7" s="4" t="s">
        <v>3</v>
      </c>
      <c r="G7" s="10" t="s">
        <v>330</v>
      </c>
      <c r="H7" s="15"/>
    </row>
    <row r="8" spans="1:22" ht="12.75" hidden="1" customHeight="1" x14ac:dyDescent="0.2">
      <c r="A8" s="118"/>
      <c r="B8" s="1"/>
    </row>
    <row r="9" spans="1:22" ht="12.75" hidden="1" customHeight="1" x14ac:dyDescent="0.2">
      <c r="A9" s="118"/>
      <c r="B9" s="4" t="s">
        <v>4</v>
      </c>
      <c r="C9" t="s">
        <v>112</v>
      </c>
    </row>
    <row r="10" spans="1:22" x14ac:dyDescent="0.2">
      <c r="A10" s="118"/>
      <c r="B10" s="4" t="s">
        <v>5</v>
      </c>
      <c r="C10" s="63">
        <v>1</v>
      </c>
      <c r="D10" s="15"/>
      <c r="E10" s="119" t="s">
        <v>6</v>
      </c>
      <c r="F10" s="120"/>
      <c r="G10" s="10" t="s">
        <v>323</v>
      </c>
      <c r="H10" s="15"/>
    </row>
    <row r="11" spans="1:22" x14ac:dyDescent="0.2">
      <c r="A11" s="118"/>
      <c r="B11" s="121" t="s">
        <v>323</v>
      </c>
      <c r="C11" s="122"/>
      <c r="D11" s="122"/>
      <c r="E11" s="122"/>
      <c r="F11" s="122"/>
      <c r="G11" s="122"/>
      <c r="H11" s="123"/>
    </row>
    <row r="12" spans="1:22" x14ac:dyDescent="0.2">
      <c r="A12" s="118"/>
      <c r="B12" s="124"/>
      <c r="C12" s="125"/>
      <c r="D12" s="125"/>
      <c r="E12" s="125"/>
      <c r="F12" s="125"/>
      <c r="G12" s="125"/>
      <c r="H12" s="126"/>
    </row>
    <row r="13" spans="1:22" x14ac:dyDescent="0.2">
      <c r="B13" s="11"/>
      <c r="C13" s="117" t="s">
        <v>109</v>
      </c>
      <c r="D13" s="117"/>
      <c r="E13" s="11"/>
      <c r="F13" s="11"/>
      <c r="G13" s="11"/>
      <c r="H13" s="11"/>
    </row>
    <row r="14" spans="1:22" ht="15" x14ac:dyDescent="0.3">
      <c r="B14" s="7" t="s">
        <v>7</v>
      </c>
      <c r="C14" s="12" t="s">
        <v>60</v>
      </c>
      <c r="D14" s="7" t="s">
        <v>59</v>
      </c>
      <c r="E14" s="7" t="s">
        <v>8</v>
      </c>
      <c r="F14" s="7" t="s">
        <v>9</v>
      </c>
      <c r="G14" s="13" t="s">
        <v>12</v>
      </c>
      <c r="H14" s="7" t="s">
        <v>10</v>
      </c>
      <c r="I14" s="11" t="s">
        <v>110</v>
      </c>
      <c r="J14" s="11" t="s">
        <v>111</v>
      </c>
      <c r="K14" s="11" t="s">
        <v>322</v>
      </c>
      <c r="M14" t="s">
        <v>240</v>
      </c>
      <c r="O14" t="s">
        <v>291</v>
      </c>
      <c r="P14" t="s">
        <v>318</v>
      </c>
      <c r="Q14" t="s">
        <v>317</v>
      </c>
      <c r="S14" t="s">
        <v>320</v>
      </c>
    </row>
    <row r="15" spans="1:22" outlineLevel="2" x14ac:dyDescent="0.2">
      <c r="B15" s="11" t="s">
        <v>62</v>
      </c>
      <c r="C15" s="11">
        <v>11.754</v>
      </c>
      <c r="D15" s="11">
        <v>7.734</v>
      </c>
      <c r="E15" s="11" t="s">
        <v>334</v>
      </c>
      <c r="F15" s="11">
        <f>O15*TextQTY</f>
        <v>1</v>
      </c>
      <c r="G15" s="11"/>
      <c r="H15" s="116" t="s">
        <v>335</v>
      </c>
      <c r="I15" s="11">
        <f>K15*F15</f>
        <v>1.27</v>
      </c>
      <c r="J15" s="11">
        <f>C15*D15*F15/144</f>
        <v>0.63128774999999993</v>
      </c>
      <c r="K15" s="11">
        <v>1.27</v>
      </c>
      <c r="O15">
        <v>1</v>
      </c>
      <c r="P15" t="str">
        <f>IF(LEN(B15)&gt;1,RIGHT(B15,LEN(B15)-6),"")</f>
        <v>S/S - #4</v>
      </c>
      <c r="Q15">
        <f>_xlfn.XLOOKUP(LEFT(B15,5),'Change K Factors'!$A$3:$A$50,'Change K Factors'!$E$3:$E$50,'Change K Factors'!$E$4)</f>
        <v>1.22</v>
      </c>
    </row>
    <row r="16" spans="1:22" outlineLevel="2" x14ac:dyDescent="0.2">
      <c r="B16" s="11" t="s">
        <v>62</v>
      </c>
      <c r="C16" s="11">
        <v>11.754</v>
      </c>
      <c r="D16" s="11">
        <v>7.734</v>
      </c>
      <c r="E16" s="11" t="s">
        <v>336</v>
      </c>
      <c r="F16" s="11">
        <f>O16*TextQTY</f>
        <v>1</v>
      </c>
      <c r="G16" s="11"/>
      <c r="H16" s="116" t="s">
        <v>337</v>
      </c>
      <c r="I16" s="11">
        <f>K16*F16</f>
        <v>1.27</v>
      </c>
      <c r="J16" s="11">
        <f>C16*D16*F16/144</f>
        <v>0.63128774999999993</v>
      </c>
      <c r="K16" s="11">
        <v>1.27</v>
      </c>
      <c r="O16">
        <v>1</v>
      </c>
      <c r="P16" t="str">
        <f>IF(LEN(B16)&gt;1,RIGHT(B16,LEN(B16)-6),"")</f>
        <v>S/S - #4</v>
      </c>
      <c r="Q16">
        <f>_xlfn.XLOOKUP(LEFT(B16,5),'Change K Factors'!$A$3:$A$50,'Change K Factors'!$E$3:$E$50,'Change K Factors'!$E$4)</f>
        <v>1.22</v>
      </c>
    </row>
    <row r="17" spans="2:17" outlineLevel="2" x14ac:dyDescent="0.2">
      <c r="B17" s="11" t="s">
        <v>62</v>
      </c>
      <c r="C17" s="11">
        <v>1.024</v>
      </c>
      <c r="D17" s="11">
        <v>1.772</v>
      </c>
      <c r="E17" s="11" t="s">
        <v>338</v>
      </c>
      <c r="F17" s="11">
        <f>O17*TextQTY</f>
        <v>2</v>
      </c>
      <c r="G17" s="11"/>
      <c r="H17" s="116" t="s">
        <v>339</v>
      </c>
      <c r="I17" s="11">
        <f>K17*F17</f>
        <v>0.06</v>
      </c>
      <c r="J17" s="11">
        <f>C17*D17*F17/144</f>
        <v>2.5201777777777781E-2</v>
      </c>
      <c r="K17" s="11">
        <v>0.03</v>
      </c>
      <c r="O17">
        <v>2</v>
      </c>
      <c r="P17" t="str">
        <f>IF(LEN(B17)&gt;1,RIGHT(B17,LEN(B17)-6),"")</f>
        <v>S/S - #4</v>
      </c>
      <c r="Q17">
        <f>_xlfn.XLOOKUP(LEFT(B17,5),'Change K Factors'!$A$3:$A$50,'Change K Factors'!$E$3:$E$50,'Change K Factors'!$E$4)</f>
        <v>1.22</v>
      </c>
    </row>
    <row r="18" spans="2:17" outlineLevel="2" x14ac:dyDescent="0.2">
      <c r="B18" s="11" t="s">
        <v>62</v>
      </c>
      <c r="C18" s="11">
        <v>4.7240000000000002</v>
      </c>
      <c r="D18" s="11">
        <v>0.748</v>
      </c>
      <c r="E18" s="11" t="s">
        <v>340</v>
      </c>
      <c r="F18" s="11">
        <f>O18*TextQTY</f>
        <v>1</v>
      </c>
      <c r="G18" s="11"/>
      <c r="H18" s="116" t="s">
        <v>341</v>
      </c>
      <c r="I18" s="11">
        <f>K18*F18</f>
        <v>0.05</v>
      </c>
      <c r="J18" s="11">
        <f>C18*D18*F18/144</f>
        <v>2.4538555555555557E-2</v>
      </c>
      <c r="K18" s="11">
        <v>0.05</v>
      </c>
      <c r="O18">
        <v>1</v>
      </c>
      <c r="P18" t="str">
        <f>IF(LEN(B18)&gt;1,RIGHT(B18,LEN(B18)-6),"")</f>
        <v>S/S - #4</v>
      </c>
      <c r="Q18">
        <f>_xlfn.XLOOKUP(LEFT(B18,5),'Change K Factors'!$A$3:$A$50,'Change K Factors'!$E$3:$E$50,'Change K Factors'!$E$4)</f>
        <v>1.22</v>
      </c>
    </row>
    <row r="19" spans="2:17" outlineLevel="2" x14ac:dyDescent="0.2">
      <c r="B19" s="11" t="s">
        <v>62</v>
      </c>
      <c r="C19" s="11">
        <v>15.145</v>
      </c>
      <c r="D19" s="11">
        <v>7.24</v>
      </c>
      <c r="E19" s="11" t="s">
        <v>342</v>
      </c>
      <c r="F19" s="11">
        <f>O19*TextQTY</f>
        <v>1</v>
      </c>
      <c r="G19" s="11"/>
      <c r="H19" s="116" t="s">
        <v>343</v>
      </c>
      <c r="I19" s="11">
        <f>K19*F19</f>
        <v>1.54</v>
      </c>
      <c r="J19" s="11">
        <f>C19*D19*F19/144</f>
        <v>0.76145694444444445</v>
      </c>
      <c r="K19" s="11">
        <v>1.54</v>
      </c>
      <c r="O19">
        <v>1</v>
      </c>
      <c r="P19" t="str">
        <f>IF(LEN(B19)&gt;1,RIGHT(B19,LEN(B19)-6),"")</f>
        <v>S/S - #4</v>
      </c>
      <c r="Q19">
        <f>_xlfn.XLOOKUP(LEFT(B19,5),'Change K Factors'!$A$3:$A$50,'Change K Factors'!$E$3:$E$50,'Change K Factors'!$E$4)</f>
        <v>1.22</v>
      </c>
    </row>
    <row r="20" spans="2:17" outlineLevel="2" x14ac:dyDescent="0.2">
      <c r="B20" s="11" t="s">
        <v>62</v>
      </c>
      <c r="C20" s="11">
        <v>2.3620000000000001</v>
      </c>
      <c r="D20" s="11">
        <v>10.532999999999999</v>
      </c>
      <c r="E20" s="11" t="s">
        <v>344</v>
      </c>
      <c r="F20" s="11">
        <f>O20*TextQTY</f>
        <v>2</v>
      </c>
      <c r="G20" s="11"/>
      <c r="H20" s="116" t="s">
        <v>345</v>
      </c>
      <c r="I20" s="11">
        <f>K20*F20</f>
        <v>0.7</v>
      </c>
      <c r="J20" s="11">
        <f>C20*D20*F20/144</f>
        <v>0.34554091666666664</v>
      </c>
      <c r="K20" s="11">
        <v>0.35</v>
      </c>
      <c r="O20">
        <v>2</v>
      </c>
      <c r="P20" t="str">
        <f>IF(LEN(B20)&gt;1,RIGHT(B20,LEN(B20)-6),"")</f>
        <v>S/S - #4</v>
      </c>
      <c r="Q20">
        <f>_xlfn.XLOOKUP(LEFT(B20,5),'Change K Factors'!$A$3:$A$50,'Change K Factors'!$E$3:$E$50,'Change K Factors'!$E$4)</f>
        <v>1.22</v>
      </c>
    </row>
    <row r="21" spans="2:17" outlineLevel="2" x14ac:dyDescent="0.2">
      <c r="B21" s="11" t="s">
        <v>62</v>
      </c>
      <c r="C21" s="11">
        <v>11.85</v>
      </c>
      <c r="D21" s="11">
        <v>7.6379999999999999</v>
      </c>
      <c r="E21" s="11" t="s">
        <v>346</v>
      </c>
      <c r="F21" s="11">
        <f>O21*TextQTY</f>
        <v>1</v>
      </c>
      <c r="G21" s="11"/>
      <c r="H21" s="116" t="s">
        <v>352</v>
      </c>
      <c r="I21" s="11">
        <f>K21*F21</f>
        <v>1.27</v>
      </c>
      <c r="J21" s="11">
        <f>C21*D21*F21/144</f>
        <v>0.62854374999999996</v>
      </c>
      <c r="K21" s="11">
        <v>1.27</v>
      </c>
      <c r="O21">
        <v>1</v>
      </c>
      <c r="P21" t="str">
        <f>IF(LEN(B21)&gt;1,RIGHT(B21,LEN(B21)-6),"")</f>
        <v>S/S - #4</v>
      </c>
      <c r="Q21">
        <f>_xlfn.XLOOKUP(LEFT(B21,5),'Change K Factors'!$A$3:$A$50,'Change K Factors'!$E$3:$E$50,'Change K Factors'!$E$4)</f>
        <v>1.22</v>
      </c>
    </row>
    <row r="22" spans="2:17" outlineLevel="2" x14ac:dyDescent="0.2">
      <c r="B22" s="11" t="s">
        <v>62</v>
      </c>
      <c r="C22" s="11">
        <v>11.85</v>
      </c>
      <c r="D22" s="11">
        <v>7.6379999999999999</v>
      </c>
      <c r="E22" s="11" t="s">
        <v>347</v>
      </c>
      <c r="F22" s="11">
        <f>O22*TextQTY</f>
        <v>1</v>
      </c>
      <c r="G22" s="11"/>
      <c r="H22" s="116" t="s">
        <v>348</v>
      </c>
      <c r="I22" s="11">
        <f>K22*F22</f>
        <v>1.27</v>
      </c>
      <c r="J22" s="11">
        <f>C22*D22*F22/144</f>
        <v>0.62854374999999996</v>
      </c>
      <c r="K22" s="11">
        <v>1.27</v>
      </c>
      <c r="O22">
        <v>1</v>
      </c>
      <c r="P22" t="str">
        <f>IF(LEN(B22)&gt;1,RIGHT(B22,LEN(B22)-6),"")</f>
        <v>S/S - #4</v>
      </c>
      <c r="Q22">
        <f>_xlfn.XLOOKUP(LEFT(B22,5),'Change K Factors'!$A$3:$A$50,'Change K Factors'!$E$3:$E$50,'Change K Factors'!$E$4)</f>
        <v>1.22</v>
      </c>
    </row>
    <row r="23" spans="2:17" outlineLevel="2" x14ac:dyDescent="0.2">
      <c r="B23" s="11" t="s">
        <v>62</v>
      </c>
      <c r="C23" s="11">
        <v>10.1</v>
      </c>
      <c r="D23" s="11">
        <v>6.484</v>
      </c>
      <c r="E23" s="11" t="s">
        <v>349</v>
      </c>
      <c r="F23" s="11">
        <f>O23*TextQTY</f>
        <v>2</v>
      </c>
      <c r="G23" s="11"/>
      <c r="H23" s="116" t="s">
        <v>350</v>
      </c>
      <c r="I23" s="11">
        <f>K23*F23</f>
        <v>1.84</v>
      </c>
      <c r="J23" s="11">
        <f>C23*D23*F23/144</f>
        <v>0.90956111111111104</v>
      </c>
      <c r="K23" s="11">
        <v>0.92</v>
      </c>
      <c r="O23">
        <v>2</v>
      </c>
      <c r="P23" t="str">
        <f>IF(LEN(B23)&gt;1,RIGHT(B23,LEN(B23)-6),"")</f>
        <v>S/S - #4</v>
      </c>
      <c r="Q23">
        <f>_xlfn.XLOOKUP(LEFT(B23,5),'Change K Factors'!$A$3:$A$50,'Change K Factors'!$E$3:$E$50,'Change K Factors'!$E$4)</f>
        <v>1.22</v>
      </c>
    </row>
    <row r="24" spans="2:17" outlineLevel="1" x14ac:dyDescent="0.2"/>
    <row r="26" spans="2:17" x14ac:dyDescent="0.2">
      <c r="B26" s="20" t="str">
        <f>B14</f>
        <v>MATERIAL</v>
      </c>
      <c r="C26" s="11" t="str">
        <f>I14</f>
        <v>Weight Lbs</v>
      </c>
      <c r="D26" s="11" t="str">
        <f>J14</f>
        <v>SQ. FT</v>
      </c>
    </row>
    <row r="27" spans="2:17" x14ac:dyDescent="0.2">
      <c r="B27" s="11" t="s">
        <v>62</v>
      </c>
      <c r="C27" s="11">
        <f>SUBTOTAL(9,I15:I23)</f>
        <v>9.27</v>
      </c>
      <c r="D27" s="11">
        <f>SUBTOTAL(9,J15:J23)</f>
        <v>4.5859623055555554</v>
      </c>
    </row>
  </sheetData>
  <mergeCells count="5">
    <mergeCell ref="C13:D13"/>
    <mergeCell ref="A3:A12"/>
    <mergeCell ref="B3:H3"/>
    <mergeCell ref="E10:F10"/>
    <mergeCell ref="B11:H12"/>
  </mergeCells>
  <phoneticPr fontId="5" type="noConversion"/>
  <dataValidations disablePrompts="1" count="1">
    <dataValidation type="list" allowBlank="1" showInputMessage="1" showErrorMessage="1" sqref="J4" xr:uid="{208C2947-AAE2-423D-A202-E405623CC1D3}">
      <formula1>#REF!</formula1>
    </dataValidation>
  </dataValidations>
  <hyperlinks>
    <hyperlink ref="H5" r:id="rId1" tooltip="ABD Assembly-10106LTAG.pdf" xr:uid="{87863D53-02CE-4F15-A5BD-1199C1CD2E19}"/>
    <hyperlink ref="J5" r:id="rId2" tooltip="ABD Assembly-10106LTAG.EASM" xr:uid="{7F5578FE-6D74-4C5F-9A7D-3979E2EFE722}"/>
    <hyperlink ref="H15" r:id="rId3" tooltip="53280RX-106AL.pdf" xr:uid="{CE41CF57-452E-4F59-8D8B-6E7740C5F69A}"/>
    <hyperlink ref="H16" r:id="rId4" tooltip="53280SX-106.pdf" xr:uid="{6BC2264B-36D0-4353-ACAE-C1EB56793D98}"/>
    <hyperlink ref="H17" r:id="rId5" tooltip="53283BX.pdf" xr:uid="{10F52667-6623-4DB6-A60B-8027A53F473A}"/>
    <hyperlink ref="H18" r:id="rId6" tooltip="53285JX.pdf" xr:uid="{F7EB3F20-AE30-449D-8F1C-932E1839DC8C}"/>
    <hyperlink ref="H19" r:id="rId7" tooltip="53286PX-10L.pdf" xr:uid="{38708364-7252-4459-95E5-1D38522ECB8A}"/>
    <hyperlink ref="H20" r:id="rId8" tooltip="53288AX-10.pdf" xr:uid="{BE7FFC1D-9E99-4C0B-B1E4-93656588807A}"/>
    <hyperlink ref="H21" r:id="rId9" tooltip="54102BX-106TG.pdf" xr:uid="{EBC3D50B-3FE5-4636-8CE4-A123962BDC38}"/>
    <hyperlink ref="H22" r:id="rId10" tooltip="54102SX-106.pdf" xr:uid="{0014B3BD-7185-4E6F-9593-5DD7714A70FE}"/>
    <hyperlink ref="H23" r:id="rId11" tooltip="54103BX-10106.pdf" xr:uid="{BAF9F8C7-9D71-435A-BB4A-814F2B8AC58C}"/>
  </hyperlinks>
  <printOptions horizontalCentered="1" verticalCentered="1"/>
  <pageMargins left="0.75" right="0.75" top="1" bottom="1" header="0.5" footer="0.5"/>
  <pageSetup scale="95" orientation="landscape" r:id="rId12"/>
  <headerFooter alignWithMargins="0"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71014-1DDC-428F-9E02-06B8F5A80D4F}">
  <sheetPr>
    <pageSetUpPr fitToPage="1"/>
  </sheetPr>
  <dimension ref="A1:Z49"/>
  <sheetViews>
    <sheetView zoomScaleNormal="100" workbookViewId="0">
      <selection activeCell="R7" sqref="R7:R8"/>
    </sheetView>
  </sheetViews>
  <sheetFormatPr defaultRowHeight="15" x14ac:dyDescent="0.2"/>
  <cols>
    <col min="1" max="1" width="1.28515625" style="76" customWidth="1"/>
    <col min="2" max="2" width="2.5703125" style="76" customWidth="1"/>
    <col min="3" max="3" width="3.5703125" style="76" customWidth="1"/>
    <col min="4" max="4" width="1.28515625" style="76" customWidth="1"/>
    <col min="5" max="5" width="14.7109375" style="76" customWidth="1"/>
    <col min="6" max="6" width="11.140625" style="76" customWidth="1"/>
    <col min="7" max="7" width="17.28515625" style="76" customWidth="1"/>
    <col min="8" max="8" width="2.5703125" style="76" customWidth="1"/>
    <col min="9" max="9" width="3.42578125" style="76" customWidth="1"/>
    <col min="10" max="10" width="1.5703125" style="76" customWidth="1"/>
    <col min="11" max="11" width="7.7109375" style="76" customWidth="1"/>
    <col min="12" max="12" width="5.5703125" style="76" customWidth="1"/>
    <col min="13" max="13" width="26.5703125" style="76" customWidth="1"/>
    <col min="14" max="14" width="3.85546875" style="76" customWidth="1"/>
    <col min="15" max="15" width="9.85546875" style="76" customWidth="1"/>
    <col min="16" max="16" width="3.5703125" style="76" customWidth="1"/>
    <col min="17" max="17" width="17.140625" style="76" customWidth="1"/>
    <col min="18" max="25" width="9.140625" style="76"/>
    <col min="26" max="26" width="12.5703125" style="77" bestFit="1" customWidth="1"/>
    <col min="27" max="256" width="9.140625" style="76"/>
    <col min="257" max="257" width="1.28515625" style="76" customWidth="1"/>
    <col min="258" max="258" width="2.5703125" style="76" customWidth="1"/>
    <col min="259" max="259" width="3.5703125" style="76" customWidth="1"/>
    <col min="260" max="260" width="1.28515625" style="76" customWidth="1"/>
    <col min="261" max="261" width="14.7109375" style="76" customWidth="1"/>
    <col min="262" max="262" width="11.140625" style="76" customWidth="1"/>
    <col min="263" max="263" width="17.28515625" style="76" customWidth="1"/>
    <col min="264" max="264" width="2.5703125" style="76" customWidth="1"/>
    <col min="265" max="265" width="3.42578125" style="76" customWidth="1"/>
    <col min="266" max="266" width="1.5703125" style="76" customWidth="1"/>
    <col min="267" max="267" width="7.7109375" style="76" customWidth="1"/>
    <col min="268" max="268" width="5.5703125" style="76" customWidth="1"/>
    <col min="269" max="269" width="26.5703125" style="76" customWidth="1"/>
    <col min="270" max="270" width="3.85546875" style="76" customWidth="1"/>
    <col min="271" max="271" width="9.85546875" style="76" customWidth="1"/>
    <col min="272" max="272" width="3.5703125" style="76" customWidth="1"/>
    <col min="273" max="273" width="17.140625" style="76" customWidth="1"/>
    <col min="274" max="512" width="9.140625" style="76"/>
    <col min="513" max="513" width="1.28515625" style="76" customWidth="1"/>
    <col min="514" max="514" width="2.5703125" style="76" customWidth="1"/>
    <col min="515" max="515" width="3.5703125" style="76" customWidth="1"/>
    <col min="516" max="516" width="1.28515625" style="76" customWidth="1"/>
    <col min="517" max="517" width="14.7109375" style="76" customWidth="1"/>
    <col min="518" max="518" width="11.140625" style="76" customWidth="1"/>
    <col min="519" max="519" width="17.28515625" style="76" customWidth="1"/>
    <col min="520" max="520" width="2.5703125" style="76" customWidth="1"/>
    <col min="521" max="521" width="3.42578125" style="76" customWidth="1"/>
    <col min="522" max="522" width="1.5703125" style="76" customWidth="1"/>
    <col min="523" max="523" width="7.7109375" style="76" customWidth="1"/>
    <col min="524" max="524" width="5.5703125" style="76" customWidth="1"/>
    <col min="525" max="525" width="26.5703125" style="76" customWidth="1"/>
    <col min="526" max="526" width="3.85546875" style="76" customWidth="1"/>
    <col min="527" max="527" width="9.85546875" style="76" customWidth="1"/>
    <col min="528" max="528" width="3.5703125" style="76" customWidth="1"/>
    <col min="529" max="529" width="17.140625" style="76" customWidth="1"/>
    <col min="530" max="768" width="9.140625" style="76"/>
    <col min="769" max="769" width="1.28515625" style="76" customWidth="1"/>
    <col min="770" max="770" width="2.5703125" style="76" customWidth="1"/>
    <col min="771" max="771" width="3.5703125" style="76" customWidth="1"/>
    <col min="772" max="772" width="1.28515625" style="76" customWidth="1"/>
    <col min="773" max="773" width="14.7109375" style="76" customWidth="1"/>
    <col min="774" max="774" width="11.140625" style="76" customWidth="1"/>
    <col min="775" max="775" width="17.28515625" style="76" customWidth="1"/>
    <col min="776" max="776" width="2.5703125" style="76" customWidth="1"/>
    <col min="777" max="777" width="3.42578125" style="76" customWidth="1"/>
    <col min="778" max="778" width="1.5703125" style="76" customWidth="1"/>
    <col min="779" max="779" width="7.7109375" style="76" customWidth="1"/>
    <col min="780" max="780" width="5.5703125" style="76" customWidth="1"/>
    <col min="781" max="781" width="26.5703125" style="76" customWidth="1"/>
    <col min="782" max="782" width="3.85546875" style="76" customWidth="1"/>
    <col min="783" max="783" width="9.85546875" style="76" customWidth="1"/>
    <col min="784" max="784" width="3.5703125" style="76" customWidth="1"/>
    <col min="785" max="785" width="17.140625" style="76" customWidth="1"/>
    <col min="786" max="1024" width="9.140625" style="76"/>
    <col min="1025" max="1025" width="1.28515625" style="76" customWidth="1"/>
    <col min="1026" max="1026" width="2.5703125" style="76" customWidth="1"/>
    <col min="1027" max="1027" width="3.5703125" style="76" customWidth="1"/>
    <col min="1028" max="1028" width="1.28515625" style="76" customWidth="1"/>
    <col min="1029" max="1029" width="14.7109375" style="76" customWidth="1"/>
    <col min="1030" max="1030" width="11.140625" style="76" customWidth="1"/>
    <col min="1031" max="1031" width="17.28515625" style="76" customWidth="1"/>
    <col min="1032" max="1032" width="2.5703125" style="76" customWidth="1"/>
    <col min="1033" max="1033" width="3.42578125" style="76" customWidth="1"/>
    <col min="1034" max="1034" width="1.5703125" style="76" customWidth="1"/>
    <col min="1035" max="1035" width="7.7109375" style="76" customWidth="1"/>
    <col min="1036" max="1036" width="5.5703125" style="76" customWidth="1"/>
    <col min="1037" max="1037" width="26.5703125" style="76" customWidth="1"/>
    <col min="1038" max="1038" width="3.85546875" style="76" customWidth="1"/>
    <col min="1039" max="1039" width="9.85546875" style="76" customWidth="1"/>
    <col min="1040" max="1040" width="3.5703125" style="76" customWidth="1"/>
    <col min="1041" max="1041" width="17.140625" style="76" customWidth="1"/>
    <col min="1042" max="1280" width="9.140625" style="76"/>
    <col min="1281" max="1281" width="1.28515625" style="76" customWidth="1"/>
    <col min="1282" max="1282" width="2.5703125" style="76" customWidth="1"/>
    <col min="1283" max="1283" width="3.5703125" style="76" customWidth="1"/>
    <col min="1284" max="1284" width="1.28515625" style="76" customWidth="1"/>
    <col min="1285" max="1285" width="14.7109375" style="76" customWidth="1"/>
    <col min="1286" max="1286" width="11.140625" style="76" customWidth="1"/>
    <col min="1287" max="1287" width="17.28515625" style="76" customWidth="1"/>
    <col min="1288" max="1288" width="2.5703125" style="76" customWidth="1"/>
    <col min="1289" max="1289" width="3.42578125" style="76" customWidth="1"/>
    <col min="1290" max="1290" width="1.5703125" style="76" customWidth="1"/>
    <col min="1291" max="1291" width="7.7109375" style="76" customWidth="1"/>
    <col min="1292" max="1292" width="5.5703125" style="76" customWidth="1"/>
    <col min="1293" max="1293" width="26.5703125" style="76" customWidth="1"/>
    <col min="1294" max="1294" width="3.85546875" style="76" customWidth="1"/>
    <col min="1295" max="1295" width="9.85546875" style="76" customWidth="1"/>
    <col min="1296" max="1296" width="3.5703125" style="76" customWidth="1"/>
    <col min="1297" max="1297" width="17.140625" style="76" customWidth="1"/>
    <col min="1298" max="1536" width="9.140625" style="76"/>
    <col min="1537" max="1537" width="1.28515625" style="76" customWidth="1"/>
    <col min="1538" max="1538" width="2.5703125" style="76" customWidth="1"/>
    <col min="1539" max="1539" width="3.5703125" style="76" customWidth="1"/>
    <col min="1540" max="1540" width="1.28515625" style="76" customWidth="1"/>
    <col min="1541" max="1541" width="14.7109375" style="76" customWidth="1"/>
    <col min="1542" max="1542" width="11.140625" style="76" customWidth="1"/>
    <col min="1543" max="1543" width="17.28515625" style="76" customWidth="1"/>
    <col min="1544" max="1544" width="2.5703125" style="76" customWidth="1"/>
    <col min="1545" max="1545" width="3.42578125" style="76" customWidth="1"/>
    <col min="1546" max="1546" width="1.5703125" style="76" customWidth="1"/>
    <col min="1547" max="1547" width="7.7109375" style="76" customWidth="1"/>
    <col min="1548" max="1548" width="5.5703125" style="76" customWidth="1"/>
    <col min="1549" max="1549" width="26.5703125" style="76" customWidth="1"/>
    <col min="1550" max="1550" width="3.85546875" style="76" customWidth="1"/>
    <col min="1551" max="1551" width="9.85546875" style="76" customWidth="1"/>
    <col min="1552" max="1552" width="3.5703125" style="76" customWidth="1"/>
    <col min="1553" max="1553" width="17.140625" style="76" customWidth="1"/>
    <col min="1554" max="1792" width="9.140625" style="76"/>
    <col min="1793" max="1793" width="1.28515625" style="76" customWidth="1"/>
    <col min="1794" max="1794" width="2.5703125" style="76" customWidth="1"/>
    <col min="1795" max="1795" width="3.5703125" style="76" customWidth="1"/>
    <col min="1796" max="1796" width="1.28515625" style="76" customWidth="1"/>
    <col min="1797" max="1797" width="14.7109375" style="76" customWidth="1"/>
    <col min="1798" max="1798" width="11.140625" style="76" customWidth="1"/>
    <col min="1799" max="1799" width="17.28515625" style="76" customWidth="1"/>
    <col min="1800" max="1800" width="2.5703125" style="76" customWidth="1"/>
    <col min="1801" max="1801" width="3.42578125" style="76" customWidth="1"/>
    <col min="1802" max="1802" width="1.5703125" style="76" customWidth="1"/>
    <col min="1803" max="1803" width="7.7109375" style="76" customWidth="1"/>
    <col min="1804" max="1804" width="5.5703125" style="76" customWidth="1"/>
    <col min="1805" max="1805" width="26.5703125" style="76" customWidth="1"/>
    <col min="1806" max="1806" width="3.85546875" style="76" customWidth="1"/>
    <col min="1807" max="1807" width="9.85546875" style="76" customWidth="1"/>
    <col min="1808" max="1808" width="3.5703125" style="76" customWidth="1"/>
    <col min="1809" max="1809" width="17.140625" style="76" customWidth="1"/>
    <col min="1810" max="2048" width="9.140625" style="76"/>
    <col min="2049" max="2049" width="1.28515625" style="76" customWidth="1"/>
    <col min="2050" max="2050" width="2.5703125" style="76" customWidth="1"/>
    <col min="2051" max="2051" width="3.5703125" style="76" customWidth="1"/>
    <col min="2052" max="2052" width="1.28515625" style="76" customWidth="1"/>
    <col min="2053" max="2053" width="14.7109375" style="76" customWidth="1"/>
    <col min="2054" max="2054" width="11.140625" style="76" customWidth="1"/>
    <col min="2055" max="2055" width="17.28515625" style="76" customWidth="1"/>
    <col min="2056" max="2056" width="2.5703125" style="76" customWidth="1"/>
    <col min="2057" max="2057" width="3.42578125" style="76" customWidth="1"/>
    <col min="2058" max="2058" width="1.5703125" style="76" customWidth="1"/>
    <col min="2059" max="2059" width="7.7109375" style="76" customWidth="1"/>
    <col min="2060" max="2060" width="5.5703125" style="76" customWidth="1"/>
    <col min="2061" max="2061" width="26.5703125" style="76" customWidth="1"/>
    <col min="2062" max="2062" width="3.85546875" style="76" customWidth="1"/>
    <col min="2063" max="2063" width="9.85546875" style="76" customWidth="1"/>
    <col min="2064" max="2064" width="3.5703125" style="76" customWidth="1"/>
    <col min="2065" max="2065" width="17.140625" style="76" customWidth="1"/>
    <col min="2066" max="2304" width="9.140625" style="76"/>
    <col min="2305" max="2305" width="1.28515625" style="76" customWidth="1"/>
    <col min="2306" max="2306" width="2.5703125" style="76" customWidth="1"/>
    <col min="2307" max="2307" width="3.5703125" style="76" customWidth="1"/>
    <col min="2308" max="2308" width="1.28515625" style="76" customWidth="1"/>
    <col min="2309" max="2309" width="14.7109375" style="76" customWidth="1"/>
    <col min="2310" max="2310" width="11.140625" style="76" customWidth="1"/>
    <col min="2311" max="2311" width="17.28515625" style="76" customWidth="1"/>
    <col min="2312" max="2312" width="2.5703125" style="76" customWidth="1"/>
    <col min="2313" max="2313" width="3.42578125" style="76" customWidth="1"/>
    <col min="2314" max="2314" width="1.5703125" style="76" customWidth="1"/>
    <col min="2315" max="2315" width="7.7109375" style="76" customWidth="1"/>
    <col min="2316" max="2316" width="5.5703125" style="76" customWidth="1"/>
    <col min="2317" max="2317" width="26.5703125" style="76" customWidth="1"/>
    <col min="2318" max="2318" width="3.85546875" style="76" customWidth="1"/>
    <col min="2319" max="2319" width="9.85546875" style="76" customWidth="1"/>
    <col min="2320" max="2320" width="3.5703125" style="76" customWidth="1"/>
    <col min="2321" max="2321" width="17.140625" style="76" customWidth="1"/>
    <col min="2322" max="2560" width="9.140625" style="76"/>
    <col min="2561" max="2561" width="1.28515625" style="76" customWidth="1"/>
    <col min="2562" max="2562" width="2.5703125" style="76" customWidth="1"/>
    <col min="2563" max="2563" width="3.5703125" style="76" customWidth="1"/>
    <col min="2564" max="2564" width="1.28515625" style="76" customWidth="1"/>
    <col min="2565" max="2565" width="14.7109375" style="76" customWidth="1"/>
    <col min="2566" max="2566" width="11.140625" style="76" customWidth="1"/>
    <col min="2567" max="2567" width="17.28515625" style="76" customWidth="1"/>
    <col min="2568" max="2568" width="2.5703125" style="76" customWidth="1"/>
    <col min="2569" max="2569" width="3.42578125" style="76" customWidth="1"/>
    <col min="2570" max="2570" width="1.5703125" style="76" customWidth="1"/>
    <col min="2571" max="2571" width="7.7109375" style="76" customWidth="1"/>
    <col min="2572" max="2572" width="5.5703125" style="76" customWidth="1"/>
    <col min="2573" max="2573" width="26.5703125" style="76" customWidth="1"/>
    <col min="2574" max="2574" width="3.85546875" style="76" customWidth="1"/>
    <col min="2575" max="2575" width="9.85546875" style="76" customWidth="1"/>
    <col min="2576" max="2576" width="3.5703125" style="76" customWidth="1"/>
    <col min="2577" max="2577" width="17.140625" style="76" customWidth="1"/>
    <col min="2578" max="2816" width="9.140625" style="76"/>
    <col min="2817" max="2817" width="1.28515625" style="76" customWidth="1"/>
    <col min="2818" max="2818" width="2.5703125" style="76" customWidth="1"/>
    <col min="2819" max="2819" width="3.5703125" style="76" customWidth="1"/>
    <col min="2820" max="2820" width="1.28515625" style="76" customWidth="1"/>
    <col min="2821" max="2821" width="14.7109375" style="76" customWidth="1"/>
    <col min="2822" max="2822" width="11.140625" style="76" customWidth="1"/>
    <col min="2823" max="2823" width="17.28515625" style="76" customWidth="1"/>
    <col min="2824" max="2824" width="2.5703125" style="76" customWidth="1"/>
    <col min="2825" max="2825" width="3.42578125" style="76" customWidth="1"/>
    <col min="2826" max="2826" width="1.5703125" style="76" customWidth="1"/>
    <col min="2827" max="2827" width="7.7109375" style="76" customWidth="1"/>
    <col min="2828" max="2828" width="5.5703125" style="76" customWidth="1"/>
    <col min="2829" max="2829" width="26.5703125" style="76" customWidth="1"/>
    <col min="2830" max="2830" width="3.85546875" style="76" customWidth="1"/>
    <col min="2831" max="2831" width="9.85546875" style="76" customWidth="1"/>
    <col min="2832" max="2832" width="3.5703125" style="76" customWidth="1"/>
    <col min="2833" max="2833" width="17.140625" style="76" customWidth="1"/>
    <col min="2834" max="3072" width="9.140625" style="76"/>
    <col min="3073" max="3073" width="1.28515625" style="76" customWidth="1"/>
    <col min="3074" max="3074" width="2.5703125" style="76" customWidth="1"/>
    <col min="3075" max="3075" width="3.5703125" style="76" customWidth="1"/>
    <col min="3076" max="3076" width="1.28515625" style="76" customWidth="1"/>
    <col min="3077" max="3077" width="14.7109375" style="76" customWidth="1"/>
    <col min="3078" max="3078" width="11.140625" style="76" customWidth="1"/>
    <col min="3079" max="3079" width="17.28515625" style="76" customWidth="1"/>
    <col min="3080" max="3080" width="2.5703125" style="76" customWidth="1"/>
    <col min="3081" max="3081" width="3.42578125" style="76" customWidth="1"/>
    <col min="3082" max="3082" width="1.5703125" style="76" customWidth="1"/>
    <col min="3083" max="3083" width="7.7109375" style="76" customWidth="1"/>
    <col min="3084" max="3084" width="5.5703125" style="76" customWidth="1"/>
    <col min="3085" max="3085" width="26.5703125" style="76" customWidth="1"/>
    <col min="3086" max="3086" width="3.85546875" style="76" customWidth="1"/>
    <col min="3087" max="3087" width="9.85546875" style="76" customWidth="1"/>
    <col min="3088" max="3088" width="3.5703125" style="76" customWidth="1"/>
    <col min="3089" max="3089" width="17.140625" style="76" customWidth="1"/>
    <col min="3090" max="3328" width="9.140625" style="76"/>
    <col min="3329" max="3329" width="1.28515625" style="76" customWidth="1"/>
    <col min="3330" max="3330" width="2.5703125" style="76" customWidth="1"/>
    <col min="3331" max="3331" width="3.5703125" style="76" customWidth="1"/>
    <col min="3332" max="3332" width="1.28515625" style="76" customWidth="1"/>
    <col min="3333" max="3333" width="14.7109375" style="76" customWidth="1"/>
    <col min="3334" max="3334" width="11.140625" style="76" customWidth="1"/>
    <col min="3335" max="3335" width="17.28515625" style="76" customWidth="1"/>
    <col min="3336" max="3336" width="2.5703125" style="76" customWidth="1"/>
    <col min="3337" max="3337" width="3.42578125" style="76" customWidth="1"/>
    <col min="3338" max="3338" width="1.5703125" style="76" customWidth="1"/>
    <col min="3339" max="3339" width="7.7109375" style="76" customWidth="1"/>
    <col min="3340" max="3340" width="5.5703125" style="76" customWidth="1"/>
    <col min="3341" max="3341" width="26.5703125" style="76" customWidth="1"/>
    <col min="3342" max="3342" width="3.85546875" style="76" customWidth="1"/>
    <col min="3343" max="3343" width="9.85546875" style="76" customWidth="1"/>
    <col min="3344" max="3344" width="3.5703125" style="76" customWidth="1"/>
    <col min="3345" max="3345" width="17.140625" style="76" customWidth="1"/>
    <col min="3346" max="3584" width="9.140625" style="76"/>
    <col min="3585" max="3585" width="1.28515625" style="76" customWidth="1"/>
    <col min="3586" max="3586" width="2.5703125" style="76" customWidth="1"/>
    <col min="3587" max="3587" width="3.5703125" style="76" customWidth="1"/>
    <col min="3588" max="3588" width="1.28515625" style="76" customWidth="1"/>
    <col min="3589" max="3589" width="14.7109375" style="76" customWidth="1"/>
    <col min="3590" max="3590" width="11.140625" style="76" customWidth="1"/>
    <col min="3591" max="3591" width="17.28515625" style="76" customWidth="1"/>
    <col min="3592" max="3592" width="2.5703125" style="76" customWidth="1"/>
    <col min="3593" max="3593" width="3.42578125" style="76" customWidth="1"/>
    <col min="3594" max="3594" width="1.5703125" style="76" customWidth="1"/>
    <col min="3595" max="3595" width="7.7109375" style="76" customWidth="1"/>
    <col min="3596" max="3596" width="5.5703125" style="76" customWidth="1"/>
    <col min="3597" max="3597" width="26.5703125" style="76" customWidth="1"/>
    <col min="3598" max="3598" width="3.85546875" style="76" customWidth="1"/>
    <col min="3599" max="3599" width="9.85546875" style="76" customWidth="1"/>
    <col min="3600" max="3600" width="3.5703125" style="76" customWidth="1"/>
    <col min="3601" max="3601" width="17.140625" style="76" customWidth="1"/>
    <col min="3602" max="3840" width="9.140625" style="76"/>
    <col min="3841" max="3841" width="1.28515625" style="76" customWidth="1"/>
    <col min="3842" max="3842" width="2.5703125" style="76" customWidth="1"/>
    <col min="3843" max="3843" width="3.5703125" style="76" customWidth="1"/>
    <col min="3844" max="3844" width="1.28515625" style="76" customWidth="1"/>
    <col min="3845" max="3845" width="14.7109375" style="76" customWidth="1"/>
    <col min="3846" max="3846" width="11.140625" style="76" customWidth="1"/>
    <col min="3847" max="3847" width="17.28515625" style="76" customWidth="1"/>
    <col min="3848" max="3848" width="2.5703125" style="76" customWidth="1"/>
    <col min="3849" max="3849" width="3.42578125" style="76" customWidth="1"/>
    <col min="3850" max="3850" width="1.5703125" style="76" customWidth="1"/>
    <col min="3851" max="3851" width="7.7109375" style="76" customWidth="1"/>
    <col min="3852" max="3852" width="5.5703125" style="76" customWidth="1"/>
    <col min="3853" max="3853" width="26.5703125" style="76" customWidth="1"/>
    <col min="3854" max="3854" width="3.85546875" style="76" customWidth="1"/>
    <col min="3855" max="3855" width="9.85546875" style="76" customWidth="1"/>
    <col min="3856" max="3856" width="3.5703125" style="76" customWidth="1"/>
    <col min="3857" max="3857" width="17.140625" style="76" customWidth="1"/>
    <col min="3858" max="4096" width="9.140625" style="76"/>
    <col min="4097" max="4097" width="1.28515625" style="76" customWidth="1"/>
    <col min="4098" max="4098" width="2.5703125" style="76" customWidth="1"/>
    <col min="4099" max="4099" width="3.5703125" style="76" customWidth="1"/>
    <col min="4100" max="4100" width="1.28515625" style="76" customWidth="1"/>
    <col min="4101" max="4101" width="14.7109375" style="76" customWidth="1"/>
    <col min="4102" max="4102" width="11.140625" style="76" customWidth="1"/>
    <col min="4103" max="4103" width="17.28515625" style="76" customWidth="1"/>
    <col min="4104" max="4104" width="2.5703125" style="76" customWidth="1"/>
    <col min="4105" max="4105" width="3.42578125" style="76" customWidth="1"/>
    <col min="4106" max="4106" width="1.5703125" style="76" customWidth="1"/>
    <col min="4107" max="4107" width="7.7109375" style="76" customWidth="1"/>
    <col min="4108" max="4108" width="5.5703125" style="76" customWidth="1"/>
    <col min="4109" max="4109" width="26.5703125" style="76" customWidth="1"/>
    <col min="4110" max="4110" width="3.85546875" style="76" customWidth="1"/>
    <col min="4111" max="4111" width="9.85546875" style="76" customWidth="1"/>
    <col min="4112" max="4112" width="3.5703125" style="76" customWidth="1"/>
    <col min="4113" max="4113" width="17.140625" style="76" customWidth="1"/>
    <col min="4114" max="4352" width="9.140625" style="76"/>
    <col min="4353" max="4353" width="1.28515625" style="76" customWidth="1"/>
    <col min="4354" max="4354" width="2.5703125" style="76" customWidth="1"/>
    <col min="4355" max="4355" width="3.5703125" style="76" customWidth="1"/>
    <col min="4356" max="4356" width="1.28515625" style="76" customWidth="1"/>
    <col min="4357" max="4357" width="14.7109375" style="76" customWidth="1"/>
    <col min="4358" max="4358" width="11.140625" style="76" customWidth="1"/>
    <col min="4359" max="4359" width="17.28515625" style="76" customWidth="1"/>
    <col min="4360" max="4360" width="2.5703125" style="76" customWidth="1"/>
    <col min="4361" max="4361" width="3.42578125" style="76" customWidth="1"/>
    <col min="4362" max="4362" width="1.5703125" style="76" customWidth="1"/>
    <col min="4363" max="4363" width="7.7109375" style="76" customWidth="1"/>
    <col min="4364" max="4364" width="5.5703125" style="76" customWidth="1"/>
    <col min="4365" max="4365" width="26.5703125" style="76" customWidth="1"/>
    <col min="4366" max="4366" width="3.85546875" style="76" customWidth="1"/>
    <col min="4367" max="4367" width="9.85546875" style="76" customWidth="1"/>
    <col min="4368" max="4368" width="3.5703125" style="76" customWidth="1"/>
    <col min="4369" max="4369" width="17.140625" style="76" customWidth="1"/>
    <col min="4370" max="4608" width="9.140625" style="76"/>
    <col min="4609" max="4609" width="1.28515625" style="76" customWidth="1"/>
    <col min="4610" max="4610" width="2.5703125" style="76" customWidth="1"/>
    <col min="4611" max="4611" width="3.5703125" style="76" customWidth="1"/>
    <col min="4612" max="4612" width="1.28515625" style="76" customWidth="1"/>
    <col min="4613" max="4613" width="14.7109375" style="76" customWidth="1"/>
    <col min="4614" max="4614" width="11.140625" style="76" customWidth="1"/>
    <col min="4615" max="4615" width="17.28515625" style="76" customWidth="1"/>
    <col min="4616" max="4616" width="2.5703125" style="76" customWidth="1"/>
    <col min="4617" max="4617" width="3.42578125" style="76" customWidth="1"/>
    <col min="4618" max="4618" width="1.5703125" style="76" customWidth="1"/>
    <col min="4619" max="4619" width="7.7109375" style="76" customWidth="1"/>
    <col min="4620" max="4620" width="5.5703125" style="76" customWidth="1"/>
    <col min="4621" max="4621" width="26.5703125" style="76" customWidth="1"/>
    <col min="4622" max="4622" width="3.85546875" style="76" customWidth="1"/>
    <col min="4623" max="4623" width="9.85546875" style="76" customWidth="1"/>
    <col min="4624" max="4624" width="3.5703125" style="76" customWidth="1"/>
    <col min="4625" max="4625" width="17.140625" style="76" customWidth="1"/>
    <col min="4626" max="4864" width="9.140625" style="76"/>
    <col min="4865" max="4865" width="1.28515625" style="76" customWidth="1"/>
    <col min="4866" max="4866" width="2.5703125" style="76" customWidth="1"/>
    <col min="4867" max="4867" width="3.5703125" style="76" customWidth="1"/>
    <col min="4868" max="4868" width="1.28515625" style="76" customWidth="1"/>
    <col min="4869" max="4869" width="14.7109375" style="76" customWidth="1"/>
    <col min="4870" max="4870" width="11.140625" style="76" customWidth="1"/>
    <col min="4871" max="4871" width="17.28515625" style="76" customWidth="1"/>
    <col min="4872" max="4872" width="2.5703125" style="76" customWidth="1"/>
    <col min="4873" max="4873" width="3.42578125" style="76" customWidth="1"/>
    <col min="4874" max="4874" width="1.5703125" style="76" customWidth="1"/>
    <col min="4875" max="4875" width="7.7109375" style="76" customWidth="1"/>
    <col min="4876" max="4876" width="5.5703125" style="76" customWidth="1"/>
    <col min="4877" max="4877" width="26.5703125" style="76" customWidth="1"/>
    <col min="4878" max="4878" width="3.85546875" style="76" customWidth="1"/>
    <col min="4879" max="4879" width="9.85546875" style="76" customWidth="1"/>
    <col min="4880" max="4880" width="3.5703125" style="76" customWidth="1"/>
    <col min="4881" max="4881" width="17.140625" style="76" customWidth="1"/>
    <col min="4882" max="5120" width="9.140625" style="76"/>
    <col min="5121" max="5121" width="1.28515625" style="76" customWidth="1"/>
    <col min="5122" max="5122" width="2.5703125" style="76" customWidth="1"/>
    <col min="5123" max="5123" width="3.5703125" style="76" customWidth="1"/>
    <col min="5124" max="5124" width="1.28515625" style="76" customWidth="1"/>
    <col min="5125" max="5125" width="14.7109375" style="76" customWidth="1"/>
    <col min="5126" max="5126" width="11.140625" style="76" customWidth="1"/>
    <col min="5127" max="5127" width="17.28515625" style="76" customWidth="1"/>
    <col min="5128" max="5128" width="2.5703125" style="76" customWidth="1"/>
    <col min="5129" max="5129" width="3.42578125" style="76" customWidth="1"/>
    <col min="5130" max="5130" width="1.5703125" style="76" customWidth="1"/>
    <col min="5131" max="5131" width="7.7109375" style="76" customWidth="1"/>
    <col min="5132" max="5132" width="5.5703125" style="76" customWidth="1"/>
    <col min="5133" max="5133" width="26.5703125" style="76" customWidth="1"/>
    <col min="5134" max="5134" width="3.85546875" style="76" customWidth="1"/>
    <col min="5135" max="5135" width="9.85546875" style="76" customWidth="1"/>
    <col min="5136" max="5136" width="3.5703125" style="76" customWidth="1"/>
    <col min="5137" max="5137" width="17.140625" style="76" customWidth="1"/>
    <col min="5138" max="5376" width="9.140625" style="76"/>
    <col min="5377" max="5377" width="1.28515625" style="76" customWidth="1"/>
    <col min="5378" max="5378" width="2.5703125" style="76" customWidth="1"/>
    <col min="5379" max="5379" width="3.5703125" style="76" customWidth="1"/>
    <col min="5380" max="5380" width="1.28515625" style="76" customWidth="1"/>
    <col min="5381" max="5381" width="14.7109375" style="76" customWidth="1"/>
    <col min="5382" max="5382" width="11.140625" style="76" customWidth="1"/>
    <col min="5383" max="5383" width="17.28515625" style="76" customWidth="1"/>
    <col min="5384" max="5384" width="2.5703125" style="76" customWidth="1"/>
    <col min="5385" max="5385" width="3.42578125" style="76" customWidth="1"/>
    <col min="5386" max="5386" width="1.5703125" style="76" customWidth="1"/>
    <col min="5387" max="5387" width="7.7109375" style="76" customWidth="1"/>
    <col min="5388" max="5388" width="5.5703125" style="76" customWidth="1"/>
    <col min="5389" max="5389" width="26.5703125" style="76" customWidth="1"/>
    <col min="5390" max="5390" width="3.85546875" style="76" customWidth="1"/>
    <col min="5391" max="5391" width="9.85546875" style="76" customWidth="1"/>
    <col min="5392" max="5392" width="3.5703125" style="76" customWidth="1"/>
    <col min="5393" max="5393" width="17.140625" style="76" customWidth="1"/>
    <col min="5394" max="5632" width="9.140625" style="76"/>
    <col min="5633" max="5633" width="1.28515625" style="76" customWidth="1"/>
    <col min="5634" max="5634" width="2.5703125" style="76" customWidth="1"/>
    <col min="5635" max="5635" width="3.5703125" style="76" customWidth="1"/>
    <col min="5636" max="5636" width="1.28515625" style="76" customWidth="1"/>
    <col min="5637" max="5637" width="14.7109375" style="76" customWidth="1"/>
    <col min="5638" max="5638" width="11.140625" style="76" customWidth="1"/>
    <col min="5639" max="5639" width="17.28515625" style="76" customWidth="1"/>
    <col min="5640" max="5640" width="2.5703125" style="76" customWidth="1"/>
    <col min="5641" max="5641" width="3.42578125" style="76" customWidth="1"/>
    <col min="5642" max="5642" width="1.5703125" style="76" customWidth="1"/>
    <col min="5643" max="5643" width="7.7109375" style="76" customWidth="1"/>
    <col min="5644" max="5644" width="5.5703125" style="76" customWidth="1"/>
    <col min="5645" max="5645" width="26.5703125" style="76" customWidth="1"/>
    <col min="5646" max="5646" width="3.85546875" style="76" customWidth="1"/>
    <col min="5647" max="5647" width="9.85546875" style="76" customWidth="1"/>
    <col min="5648" max="5648" width="3.5703125" style="76" customWidth="1"/>
    <col min="5649" max="5649" width="17.140625" style="76" customWidth="1"/>
    <col min="5650" max="5888" width="9.140625" style="76"/>
    <col min="5889" max="5889" width="1.28515625" style="76" customWidth="1"/>
    <col min="5890" max="5890" width="2.5703125" style="76" customWidth="1"/>
    <col min="5891" max="5891" width="3.5703125" style="76" customWidth="1"/>
    <col min="5892" max="5892" width="1.28515625" style="76" customWidth="1"/>
    <col min="5893" max="5893" width="14.7109375" style="76" customWidth="1"/>
    <col min="5894" max="5894" width="11.140625" style="76" customWidth="1"/>
    <col min="5895" max="5895" width="17.28515625" style="76" customWidth="1"/>
    <col min="5896" max="5896" width="2.5703125" style="76" customWidth="1"/>
    <col min="5897" max="5897" width="3.42578125" style="76" customWidth="1"/>
    <col min="5898" max="5898" width="1.5703125" style="76" customWidth="1"/>
    <col min="5899" max="5899" width="7.7109375" style="76" customWidth="1"/>
    <col min="5900" max="5900" width="5.5703125" style="76" customWidth="1"/>
    <col min="5901" max="5901" width="26.5703125" style="76" customWidth="1"/>
    <col min="5902" max="5902" width="3.85546875" style="76" customWidth="1"/>
    <col min="5903" max="5903" width="9.85546875" style="76" customWidth="1"/>
    <col min="5904" max="5904" width="3.5703125" style="76" customWidth="1"/>
    <col min="5905" max="5905" width="17.140625" style="76" customWidth="1"/>
    <col min="5906" max="6144" width="9.140625" style="76"/>
    <col min="6145" max="6145" width="1.28515625" style="76" customWidth="1"/>
    <col min="6146" max="6146" width="2.5703125" style="76" customWidth="1"/>
    <col min="6147" max="6147" width="3.5703125" style="76" customWidth="1"/>
    <col min="6148" max="6148" width="1.28515625" style="76" customWidth="1"/>
    <col min="6149" max="6149" width="14.7109375" style="76" customWidth="1"/>
    <col min="6150" max="6150" width="11.140625" style="76" customWidth="1"/>
    <col min="6151" max="6151" width="17.28515625" style="76" customWidth="1"/>
    <col min="6152" max="6152" width="2.5703125" style="76" customWidth="1"/>
    <col min="6153" max="6153" width="3.42578125" style="76" customWidth="1"/>
    <col min="6154" max="6154" width="1.5703125" style="76" customWidth="1"/>
    <col min="6155" max="6155" width="7.7109375" style="76" customWidth="1"/>
    <col min="6156" max="6156" width="5.5703125" style="76" customWidth="1"/>
    <col min="6157" max="6157" width="26.5703125" style="76" customWidth="1"/>
    <col min="6158" max="6158" width="3.85546875" style="76" customWidth="1"/>
    <col min="6159" max="6159" width="9.85546875" style="76" customWidth="1"/>
    <col min="6160" max="6160" width="3.5703125" style="76" customWidth="1"/>
    <col min="6161" max="6161" width="17.140625" style="76" customWidth="1"/>
    <col min="6162" max="6400" width="9.140625" style="76"/>
    <col min="6401" max="6401" width="1.28515625" style="76" customWidth="1"/>
    <col min="6402" max="6402" width="2.5703125" style="76" customWidth="1"/>
    <col min="6403" max="6403" width="3.5703125" style="76" customWidth="1"/>
    <col min="6404" max="6404" width="1.28515625" style="76" customWidth="1"/>
    <col min="6405" max="6405" width="14.7109375" style="76" customWidth="1"/>
    <col min="6406" max="6406" width="11.140625" style="76" customWidth="1"/>
    <col min="6407" max="6407" width="17.28515625" style="76" customWidth="1"/>
    <col min="6408" max="6408" width="2.5703125" style="76" customWidth="1"/>
    <col min="6409" max="6409" width="3.42578125" style="76" customWidth="1"/>
    <col min="6410" max="6410" width="1.5703125" style="76" customWidth="1"/>
    <col min="6411" max="6411" width="7.7109375" style="76" customWidth="1"/>
    <col min="6412" max="6412" width="5.5703125" style="76" customWidth="1"/>
    <col min="6413" max="6413" width="26.5703125" style="76" customWidth="1"/>
    <col min="6414" max="6414" width="3.85546875" style="76" customWidth="1"/>
    <col min="6415" max="6415" width="9.85546875" style="76" customWidth="1"/>
    <col min="6416" max="6416" width="3.5703125" style="76" customWidth="1"/>
    <col min="6417" max="6417" width="17.140625" style="76" customWidth="1"/>
    <col min="6418" max="6656" width="9.140625" style="76"/>
    <col min="6657" max="6657" width="1.28515625" style="76" customWidth="1"/>
    <col min="6658" max="6658" width="2.5703125" style="76" customWidth="1"/>
    <col min="6659" max="6659" width="3.5703125" style="76" customWidth="1"/>
    <col min="6660" max="6660" width="1.28515625" style="76" customWidth="1"/>
    <col min="6661" max="6661" width="14.7109375" style="76" customWidth="1"/>
    <col min="6662" max="6662" width="11.140625" style="76" customWidth="1"/>
    <col min="6663" max="6663" width="17.28515625" style="76" customWidth="1"/>
    <col min="6664" max="6664" width="2.5703125" style="76" customWidth="1"/>
    <col min="6665" max="6665" width="3.42578125" style="76" customWidth="1"/>
    <col min="6666" max="6666" width="1.5703125" style="76" customWidth="1"/>
    <col min="6667" max="6667" width="7.7109375" style="76" customWidth="1"/>
    <col min="6668" max="6668" width="5.5703125" style="76" customWidth="1"/>
    <col min="6669" max="6669" width="26.5703125" style="76" customWidth="1"/>
    <col min="6670" max="6670" width="3.85546875" style="76" customWidth="1"/>
    <col min="6671" max="6671" width="9.85546875" style="76" customWidth="1"/>
    <col min="6672" max="6672" width="3.5703125" style="76" customWidth="1"/>
    <col min="6673" max="6673" width="17.140625" style="76" customWidth="1"/>
    <col min="6674" max="6912" width="9.140625" style="76"/>
    <col min="6913" max="6913" width="1.28515625" style="76" customWidth="1"/>
    <col min="6914" max="6914" width="2.5703125" style="76" customWidth="1"/>
    <col min="6915" max="6915" width="3.5703125" style="76" customWidth="1"/>
    <col min="6916" max="6916" width="1.28515625" style="76" customWidth="1"/>
    <col min="6917" max="6917" width="14.7109375" style="76" customWidth="1"/>
    <col min="6918" max="6918" width="11.140625" style="76" customWidth="1"/>
    <col min="6919" max="6919" width="17.28515625" style="76" customWidth="1"/>
    <col min="6920" max="6920" width="2.5703125" style="76" customWidth="1"/>
    <col min="6921" max="6921" width="3.42578125" style="76" customWidth="1"/>
    <col min="6922" max="6922" width="1.5703125" style="76" customWidth="1"/>
    <col min="6923" max="6923" width="7.7109375" style="76" customWidth="1"/>
    <col min="6924" max="6924" width="5.5703125" style="76" customWidth="1"/>
    <col min="6925" max="6925" width="26.5703125" style="76" customWidth="1"/>
    <col min="6926" max="6926" width="3.85546875" style="76" customWidth="1"/>
    <col min="6927" max="6927" width="9.85546875" style="76" customWidth="1"/>
    <col min="6928" max="6928" width="3.5703125" style="76" customWidth="1"/>
    <col min="6929" max="6929" width="17.140625" style="76" customWidth="1"/>
    <col min="6930" max="7168" width="9.140625" style="76"/>
    <col min="7169" max="7169" width="1.28515625" style="76" customWidth="1"/>
    <col min="7170" max="7170" width="2.5703125" style="76" customWidth="1"/>
    <col min="7171" max="7171" width="3.5703125" style="76" customWidth="1"/>
    <col min="7172" max="7172" width="1.28515625" style="76" customWidth="1"/>
    <col min="7173" max="7173" width="14.7109375" style="76" customWidth="1"/>
    <col min="7174" max="7174" width="11.140625" style="76" customWidth="1"/>
    <col min="7175" max="7175" width="17.28515625" style="76" customWidth="1"/>
    <col min="7176" max="7176" width="2.5703125" style="76" customWidth="1"/>
    <col min="7177" max="7177" width="3.42578125" style="76" customWidth="1"/>
    <col min="7178" max="7178" width="1.5703125" style="76" customWidth="1"/>
    <col min="7179" max="7179" width="7.7109375" style="76" customWidth="1"/>
    <col min="7180" max="7180" width="5.5703125" style="76" customWidth="1"/>
    <col min="7181" max="7181" width="26.5703125" style="76" customWidth="1"/>
    <col min="7182" max="7182" width="3.85546875" style="76" customWidth="1"/>
    <col min="7183" max="7183" width="9.85546875" style="76" customWidth="1"/>
    <col min="7184" max="7184" width="3.5703125" style="76" customWidth="1"/>
    <col min="7185" max="7185" width="17.140625" style="76" customWidth="1"/>
    <col min="7186" max="7424" width="9.140625" style="76"/>
    <col min="7425" max="7425" width="1.28515625" style="76" customWidth="1"/>
    <col min="7426" max="7426" width="2.5703125" style="76" customWidth="1"/>
    <col min="7427" max="7427" width="3.5703125" style="76" customWidth="1"/>
    <col min="7428" max="7428" width="1.28515625" style="76" customWidth="1"/>
    <col min="7429" max="7429" width="14.7109375" style="76" customWidth="1"/>
    <col min="7430" max="7430" width="11.140625" style="76" customWidth="1"/>
    <col min="7431" max="7431" width="17.28515625" style="76" customWidth="1"/>
    <col min="7432" max="7432" width="2.5703125" style="76" customWidth="1"/>
    <col min="7433" max="7433" width="3.42578125" style="76" customWidth="1"/>
    <col min="7434" max="7434" width="1.5703125" style="76" customWidth="1"/>
    <col min="7435" max="7435" width="7.7109375" style="76" customWidth="1"/>
    <col min="7436" max="7436" width="5.5703125" style="76" customWidth="1"/>
    <col min="7437" max="7437" width="26.5703125" style="76" customWidth="1"/>
    <col min="7438" max="7438" width="3.85546875" style="76" customWidth="1"/>
    <col min="7439" max="7439" width="9.85546875" style="76" customWidth="1"/>
    <col min="7440" max="7440" width="3.5703125" style="76" customWidth="1"/>
    <col min="7441" max="7441" width="17.140625" style="76" customWidth="1"/>
    <col min="7442" max="7680" width="9.140625" style="76"/>
    <col min="7681" max="7681" width="1.28515625" style="76" customWidth="1"/>
    <col min="7682" max="7682" width="2.5703125" style="76" customWidth="1"/>
    <col min="7683" max="7683" width="3.5703125" style="76" customWidth="1"/>
    <col min="7684" max="7684" width="1.28515625" style="76" customWidth="1"/>
    <col min="7685" max="7685" width="14.7109375" style="76" customWidth="1"/>
    <col min="7686" max="7686" width="11.140625" style="76" customWidth="1"/>
    <col min="7687" max="7687" width="17.28515625" style="76" customWidth="1"/>
    <col min="7688" max="7688" width="2.5703125" style="76" customWidth="1"/>
    <col min="7689" max="7689" width="3.42578125" style="76" customWidth="1"/>
    <col min="7690" max="7690" width="1.5703125" style="76" customWidth="1"/>
    <col min="7691" max="7691" width="7.7109375" style="76" customWidth="1"/>
    <col min="7692" max="7692" width="5.5703125" style="76" customWidth="1"/>
    <col min="7693" max="7693" width="26.5703125" style="76" customWidth="1"/>
    <col min="7694" max="7694" width="3.85546875" style="76" customWidth="1"/>
    <col min="7695" max="7695" width="9.85546875" style="76" customWidth="1"/>
    <col min="7696" max="7696" width="3.5703125" style="76" customWidth="1"/>
    <col min="7697" max="7697" width="17.140625" style="76" customWidth="1"/>
    <col min="7698" max="7936" width="9.140625" style="76"/>
    <col min="7937" max="7937" width="1.28515625" style="76" customWidth="1"/>
    <col min="7938" max="7938" width="2.5703125" style="76" customWidth="1"/>
    <col min="7939" max="7939" width="3.5703125" style="76" customWidth="1"/>
    <col min="7940" max="7940" width="1.28515625" style="76" customWidth="1"/>
    <col min="7941" max="7941" width="14.7109375" style="76" customWidth="1"/>
    <col min="7942" max="7942" width="11.140625" style="76" customWidth="1"/>
    <col min="7943" max="7943" width="17.28515625" style="76" customWidth="1"/>
    <col min="7944" max="7944" width="2.5703125" style="76" customWidth="1"/>
    <col min="7945" max="7945" width="3.42578125" style="76" customWidth="1"/>
    <col min="7946" max="7946" width="1.5703125" style="76" customWidth="1"/>
    <col min="7947" max="7947" width="7.7109375" style="76" customWidth="1"/>
    <col min="7948" max="7948" width="5.5703125" style="76" customWidth="1"/>
    <col min="7949" max="7949" width="26.5703125" style="76" customWidth="1"/>
    <col min="7950" max="7950" width="3.85546875" style="76" customWidth="1"/>
    <col min="7951" max="7951" width="9.85546875" style="76" customWidth="1"/>
    <col min="7952" max="7952" width="3.5703125" style="76" customWidth="1"/>
    <col min="7953" max="7953" width="17.140625" style="76" customWidth="1"/>
    <col min="7954" max="8192" width="9.140625" style="76"/>
    <col min="8193" max="8193" width="1.28515625" style="76" customWidth="1"/>
    <col min="8194" max="8194" width="2.5703125" style="76" customWidth="1"/>
    <col min="8195" max="8195" width="3.5703125" style="76" customWidth="1"/>
    <col min="8196" max="8196" width="1.28515625" style="76" customWidth="1"/>
    <col min="8197" max="8197" width="14.7109375" style="76" customWidth="1"/>
    <col min="8198" max="8198" width="11.140625" style="76" customWidth="1"/>
    <col min="8199" max="8199" width="17.28515625" style="76" customWidth="1"/>
    <col min="8200" max="8200" width="2.5703125" style="76" customWidth="1"/>
    <col min="8201" max="8201" width="3.42578125" style="76" customWidth="1"/>
    <col min="8202" max="8202" width="1.5703125" style="76" customWidth="1"/>
    <col min="8203" max="8203" width="7.7109375" style="76" customWidth="1"/>
    <col min="8204" max="8204" width="5.5703125" style="76" customWidth="1"/>
    <col min="8205" max="8205" width="26.5703125" style="76" customWidth="1"/>
    <col min="8206" max="8206" width="3.85546875" style="76" customWidth="1"/>
    <col min="8207" max="8207" width="9.85546875" style="76" customWidth="1"/>
    <col min="8208" max="8208" width="3.5703125" style="76" customWidth="1"/>
    <col min="8209" max="8209" width="17.140625" style="76" customWidth="1"/>
    <col min="8210" max="8448" width="9.140625" style="76"/>
    <col min="8449" max="8449" width="1.28515625" style="76" customWidth="1"/>
    <col min="8450" max="8450" width="2.5703125" style="76" customWidth="1"/>
    <col min="8451" max="8451" width="3.5703125" style="76" customWidth="1"/>
    <col min="8452" max="8452" width="1.28515625" style="76" customWidth="1"/>
    <col min="8453" max="8453" width="14.7109375" style="76" customWidth="1"/>
    <col min="8454" max="8454" width="11.140625" style="76" customWidth="1"/>
    <col min="8455" max="8455" width="17.28515625" style="76" customWidth="1"/>
    <col min="8456" max="8456" width="2.5703125" style="76" customWidth="1"/>
    <col min="8457" max="8457" width="3.42578125" style="76" customWidth="1"/>
    <col min="8458" max="8458" width="1.5703125" style="76" customWidth="1"/>
    <col min="8459" max="8459" width="7.7109375" style="76" customWidth="1"/>
    <col min="8460" max="8460" width="5.5703125" style="76" customWidth="1"/>
    <col min="8461" max="8461" width="26.5703125" style="76" customWidth="1"/>
    <col min="8462" max="8462" width="3.85546875" style="76" customWidth="1"/>
    <col min="8463" max="8463" width="9.85546875" style="76" customWidth="1"/>
    <col min="8464" max="8464" width="3.5703125" style="76" customWidth="1"/>
    <col min="8465" max="8465" width="17.140625" style="76" customWidth="1"/>
    <col min="8466" max="8704" width="9.140625" style="76"/>
    <col min="8705" max="8705" width="1.28515625" style="76" customWidth="1"/>
    <col min="8706" max="8706" width="2.5703125" style="76" customWidth="1"/>
    <col min="8707" max="8707" width="3.5703125" style="76" customWidth="1"/>
    <col min="8708" max="8708" width="1.28515625" style="76" customWidth="1"/>
    <col min="8709" max="8709" width="14.7109375" style="76" customWidth="1"/>
    <col min="8710" max="8710" width="11.140625" style="76" customWidth="1"/>
    <col min="8711" max="8711" width="17.28515625" style="76" customWidth="1"/>
    <col min="8712" max="8712" width="2.5703125" style="76" customWidth="1"/>
    <col min="8713" max="8713" width="3.42578125" style="76" customWidth="1"/>
    <col min="8714" max="8714" width="1.5703125" style="76" customWidth="1"/>
    <col min="8715" max="8715" width="7.7109375" style="76" customWidth="1"/>
    <col min="8716" max="8716" width="5.5703125" style="76" customWidth="1"/>
    <col min="8717" max="8717" width="26.5703125" style="76" customWidth="1"/>
    <col min="8718" max="8718" width="3.85546875" style="76" customWidth="1"/>
    <col min="8719" max="8719" width="9.85546875" style="76" customWidth="1"/>
    <col min="8720" max="8720" width="3.5703125" style="76" customWidth="1"/>
    <col min="8721" max="8721" width="17.140625" style="76" customWidth="1"/>
    <col min="8722" max="8960" width="9.140625" style="76"/>
    <col min="8961" max="8961" width="1.28515625" style="76" customWidth="1"/>
    <col min="8962" max="8962" width="2.5703125" style="76" customWidth="1"/>
    <col min="8963" max="8963" width="3.5703125" style="76" customWidth="1"/>
    <col min="8964" max="8964" width="1.28515625" style="76" customWidth="1"/>
    <col min="8965" max="8965" width="14.7109375" style="76" customWidth="1"/>
    <col min="8966" max="8966" width="11.140625" style="76" customWidth="1"/>
    <col min="8967" max="8967" width="17.28515625" style="76" customWidth="1"/>
    <col min="8968" max="8968" width="2.5703125" style="76" customWidth="1"/>
    <col min="8969" max="8969" width="3.42578125" style="76" customWidth="1"/>
    <col min="8970" max="8970" width="1.5703125" style="76" customWidth="1"/>
    <col min="8971" max="8971" width="7.7109375" style="76" customWidth="1"/>
    <col min="8972" max="8972" width="5.5703125" style="76" customWidth="1"/>
    <col min="8973" max="8973" width="26.5703125" style="76" customWidth="1"/>
    <col min="8974" max="8974" width="3.85546875" style="76" customWidth="1"/>
    <col min="8975" max="8975" width="9.85546875" style="76" customWidth="1"/>
    <col min="8976" max="8976" width="3.5703125" style="76" customWidth="1"/>
    <col min="8977" max="8977" width="17.140625" style="76" customWidth="1"/>
    <col min="8978" max="9216" width="9.140625" style="76"/>
    <col min="9217" max="9217" width="1.28515625" style="76" customWidth="1"/>
    <col min="9218" max="9218" width="2.5703125" style="76" customWidth="1"/>
    <col min="9219" max="9219" width="3.5703125" style="76" customWidth="1"/>
    <col min="9220" max="9220" width="1.28515625" style="76" customWidth="1"/>
    <col min="9221" max="9221" width="14.7109375" style="76" customWidth="1"/>
    <col min="9222" max="9222" width="11.140625" style="76" customWidth="1"/>
    <col min="9223" max="9223" width="17.28515625" style="76" customWidth="1"/>
    <col min="9224" max="9224" width="2.5703125" style="76" customWidth="1"/>
    <col min="9225" max="9225" width="3.42578125" style="76" customWidth="1"/>
    <col min="9226" max="9226" width="1.5703125" style="76" customWidth="1"/>
    <col min="9227" max="9227" width="7.7109375" style="76" customWidth="1"/>
    <col min="9228" max="9228" width="5.5703125" style="76" customWidth="1"/>
    <col min="9229" max="9229" width="26.5703125" style="76" customWidth="1"/>
    <col min="9230" max="9230" width="3.85546875" style="76" customWidth="1"/>
    <col min="9231" max="9231" width="9.85546875" style="76" customWidth="1"/>
    <col min="9232" max="9232" width="3.5703125" style="76" customWidth="1"/>
    <col min="9233" max="9233" width="17.140625" style="76" customWidth="1"/>
    <col min="9234" max="9472" width="9.140625" style="76"/>
    <col min="9473" max="9473" width="1.28515625" style="76" customWidth="1"/>
    <col min="9474" max="9474" width="2.5703125" style="76" customWidth="1"/>
    <col min="9475" max="9475" width="3.5703125" style="76" customWidth="1"/>
    <col min="9476" max="9476" width="1.28515625" style="76" customWidth="1"/>
    <col min="9477" max="9477" width="14.7109375" style="76" customWidth="1"/>
    <col min="9478" max="9478" width="11.140625" style="76" customWidth="1"/>
    <col min="9479" max="9479" width="17.28515625" style="76" customWidth="1"/>
    <col min="9480" max="9480" width="2.5703125" style="76" customWidth="1"/>
    <col min="9481" max="9481" width="3.42578125" style="76" customWidth="1"/>
    <col min="9482" max="9482" width="1.5703125" style="76" customWidth="1"/>
    <col min="9483" max="9483" width="7.7109375" style="76" customWidth="1"/>
    <col min="9484" max="9484" width="5.5703125" style="76" customWidth="1"/>
    <col min="9485" max="9485" width="26.5703125" style="76" customWidth="1"/>
    <col min="9486" max="9486" width="3.85546875" style="76" customWidth="1"/>
    <col min="9487" max="9487" width="9.85546875" style="76" customWidth="1"/>
    <col min="9488" max="9488" width="3.5703125" style="76" customWidth="1"/>
    <col min="9489" max="9489" width="17.140625" style="76" customWidth="1"/>
    <col min="9490" max="9728" width="9.140625" style="76"/>
    <col min="9729" max="9729" width="1.28515625" style="76" customWidth="1"/>
    <col min="9730" max="9730" width="2.5703125" style="76" customWidth="1"/>
    <col min="9731" max="9731" width="3.5703125" style="76" customWidth="1"/>
    <col min="9732" max="9732" width="1.28515625" style="76" customWidth="1"/>
    <col min="9733" max="9733" width="14.7109375" style="76" customWidth="1"/>
    <col min="9734" max="9734" width="11.140625" style="76" customWidth="1"/>
    <col min="9735" max="9735" width="17.28515625" style="76" customWidth="1"/>
    <col min="9736" max="9736" width="2.5703125" style="76" customWidth="1"/>
    <col min="9737" max="9737" width="3.42578125" style="76" customWidth="1"/>
    <col min="9738" max="9738" width="1.5703125" style="76" customWidth="1"/>
    <col min="9739" max="9739" width="7.7109375" style="76" customWidth="1"/>
    <col min="9740" max="9740" width="5.5703125" style="76" customWidth="1"/>
    <col min="9741" max="9741" width="26.5703125" style="76" customWidth="1"/>
    <col min="9742" max="9742" width="3.85546875" style="76" customWidth="1"/>
    <col min="9743" max="9743" width="9.85546875" style="76" customWidth="1"/>
    <col min="9744" max="9744" width="3.5703125" style="76" customWidth="1"/>
    <col min="9745" max="9745" width="17.140625" style="76" customWidth="1"/>
    <col min="9746" max="9984" width="9.140625" style="76"/>
    <col min="9985" max="9985" width="1.28515625" style="76" customWidth="1"/>
    <col min="9986" max="9986" width="2.5703125" style="76" customWidth="1"/>
    <col min="9987" max="9987" width="3.5703125" style="76" customWidth="1"/>
    <col min="9988" max="9988" width="1.28515625" style="76" customWidth="1"/>
    <col min="9989" max="9989" width="14.7109375" style="76" customWidth="1"/>
    <col min="9990" max="9990" width="11.140625" style="76" customWidth="1"/>
    <col min="9991" max="9991" width="17.28515625" style="76" customWidth="1"/>
    <col min="9992" max="9992" width="2.5703125" style="76" customWidth="1"/>
    <col min="9993" max="9993" width="3.42578125" style="76" customWidth="1"/>
    <col min="9994" max="9994" width="1.5703125" style="76" customWidth="1"/>
    <col min="9995" max="9995" width="7.7109375" style="76" customWidth="1"/>
    <col min="9996" max="9996" width="5.5703125" style="76" customWidth="1"/>
    <col min="9997" max="9997" width="26.5703125" style="76" customWidth="1"/>
    <col min="9998" max="9998" width="3.85546875" style="76" customWidth="1"/>
    <col min="9999" max="9999" width="9.85546875" style="76" customWidth="1"/>
    <col min="10000" max="10000" width="3.5703125" style="76" customWidth="1"/>
    <col min="10001" max="10001" width="17.140625" style="76" customWidth="1"/>
    <col min="10002" max="10240" width="9.140625" style="76"/>
    <col min="10241" max="10241" width="1.28515625" style="76" customWidth="1"/>
    <col min="10242" max="10242" width="2.5703125" style="76" customWidth="1"/>
    <col min="10243" max="10243" width="3.5703125" style="76" customWidth="1"/>
    <col min="10244" max="10244" width="1.28515625" style="76" customWidth="1"/>
    <col min="10245" max="10245" width="14.7109375" style="76" customWidth="1"/>
    <col min="10246" max="10246" width="11.140625" style="76" customWidth="1"/>
    <col min="10247" max="10247" width="17.28515625" style="76" customWidth="1"/>
    <col min="10248" max="10248" width="2.5703125" style="76" customWidth="1"/>
    <col min="10249" max="10249" width="3.42578125" style="76" customWidth="1"/>
    <col min="10250" max="10250" width="1.5703125" style="76" customWidth="1"/>
    <col min="10251" max="10251" width="7.7109375" style="76" customWidth="1"/>
    <col min="10252" max="10252" width="5.5703125" style="76" customWidth="1"/>
    <col min="10253" max="10253" width="26.5703125" style="76" customWidth="1"/>
    <col min="10254" max="10254" width="3.85546875" style="76" customWidth="1"/>
    <col min="10255" max="10255" width="9.85546875" style="76" customWidth="1"/>
    <col min="10256" max="10256" width="3.5703125" style="76" customWidth="1"/>
    <col min="10257" max="10257" width="17.140625" style="76" customWidth="1"/>
    <col min="10258" max="10496" width="9.140625" style="76"/>
    <col min="10497" max="10497" width="1.28515625" style="76" customWidth="1"/>
    <col min="10498" max="10498" width="2.5703125" style="76" customWidth="1"/>
    <col min="10499" max="10499" width="3.5703125" style="76" customWidth="1"/>
    <col min="10500" max="10500" width="1.28515625" style="76" customWidth="1"/>
    <col min="10501" max="10501" width="14.7109375" style="76" customWidth="1"/>
    <col min="10502" max="10502" width="11.140625" style="76" customWidth="1"/>
    <col min="10503" max="10503" width="17.28515625" style="76" customWidth="1"/>
    <col min="10504" max="10504" width="2.5703125" style="76" customWidth="1"/>
    <col min="10505" max="10505" width="3.42578125" style="76" customWidth="1"/>
    <col min="10506" max="10506" width="1.5703125" style="76" customWidth="1"/>
    <col min="10507" max="10507" width="7.7109375" style="76" customWidth="1"/>
    <col min="10508" max="10508" width="5.5703125" style="76" customWidth="1"/>
    <col min="10509" max="10509" width="26.5703125" style="76" customWidth="1"/>
    <col min="10510" max="10510" width="3.85546875" style="76" customWidth="1"/>
    <col min="10511" max="10511" width="9.85546875" style="76" customWidth="1"/>
    <col min="10512" max="10512" width="3.5703125" style="76" customWidth="1"/>
    <col min="10513" max="10513" width="17.140625" style="76" customWidth="1"/>
    <col min="10514" max="10752" width="9.140625" style="76"/>
    <col min="10753" max="10753" width="1.28515625" style="76" customWidth="1"/>
    <col min="10754" max="10754" width="2.5703125" style="76" customWidth="1"/>
    <col min="10755" max="10755" width="3.5703125" style="76" customWidth="1"/>
    <col min="10756" max="10756" width="1.28515625" style="76" customWidth="1"/>
    <col min="10757" max="10757" width="14.7109375" style="76" customWidth="1"/>
    <col min="10758" max="10758" width="11.140625" style="76" customWidth="1"/>
    <col min="10759" max="10759" width="17.28515625" style="76" customWidth="1"/>
    <col min="10760" max="10760" width="2.5703125" style="76" customWidth="1"/>
    <col min="10761" max="10761" width="3.42578125" style="76" customWidth="1"/>
    <col min="10762" max="10762" width="1.5703125" style="76" customWidth="1"/>
    <col min="10763" max="10763" width="7.7109375" style="76" customWidth="1"/>
    <col min="10764" max="10764" width="5.5703125" style="76" customWidth="1"/>
    <col min="10765" max="10765" width="26.5703125" style="76" customWidth="1"/>
    <col min="10766" max="10766" width="3.85546875" style="76" customWidth="1"/>
    <col min="10767" max="10767" width="9.85546875" style="76" customWidth="1"/>
    <col min="10768" max="10768" width="3.5703125" style="76" customWidth="1"/>
    <col min="10769" max="10769" width="17.140625" style="76" customWidth="1"/>
    <col min="10770" max="11008" width="9.140625" style="76"/>
    <col min="11009" max="11009" width="1.28515625" style="76" customWidth="1"/>
    <col min="11010" max="11010" width="2.5703125" style="76" customWidth="1"/>
    <col min="11011" max="11011" width="3.5703125" style="76" customWidth="1"/>
    <col min="11012" max="11012" width="1.28515625" style="76" customWidth="1"/>
    <col min="11013" max="11013" width="14.7109375" style="76" customWidth="1"/>
    <col min="11014" max="11014" width="11.140625" style="76" customWidth="1"/>
    <col min="11015" max="11015" width="17.28515625" style="76" customWidth="1"/>
    <col min="11016" max="11016" width="2.5703125" style="76" customWidth="1"/>
    <col min="11017" max="11017" width="3.42578125" style="76" customWidth="1"/>
    <col min="11018" max="11018" width="1.5703125" style="76" customWidth="1"/>
    <col min="11019" max="11019" width="7.7109375" style="76" customWidth="1"/>
    <col min="11020" max="11020" width="5.5703125" style="76" customWidth="1"/>
    <col min="11021" max="11021" width="26.5703125" style="76" customWidth="1"/>
    <col min="11022" max="11022" width="3.85546875" style="76" customWidth="1"/>
    <col min="11023" max="11023" width="9.85546875" style="76" customWidth="1"/>
    <col min="11024" max="11024" width="3.5703125" style="76" customWidth="1"/>
    <col min="11025" max="11025" width="17.140625" style="76" customWidth="1"/>
    <col min="11026" max="11264" width="9.140625" style="76"/>
    <col min="11265" max="11265" width="1.28515625" style="76" customWidth="1"/>
    <col min="11266" max="11266" width="2.5703125" style="76" customWidth="1"/>
    <col min="11267" max="11267" width="3.5703125" style="76" customWidth="1"/>
    <col min="11268" max="11268" width="1.28515625" style="76" customWidth="1"/>
    <col min="11269" max="11269" width="14.7109375" style="76" customWidth="1"/>
    <col min="11270" max="11270" width="11.140625" style="76" customWidth="1"/>
    <col min="11271" max="11271" width="17.28515625" style="76" customWidth="1"/>
    <col min="11272" max="11272" width="2.5703125" style="76" customWidth="1"/>
    <col min="11273" max="11273" width="3.42578125" style="76" customWidth="1"/>
    <col min="11274" max="11274" width="1.5703125" style="76" customWidth="1"/>
    <col min="11275" max="11275" width="7.7109375" style="76" customWidth="1"/>
    <col min="11276" max="11276" width="5.5703125" style="76" customWidth="1"/>
    <col min="11277" max="11277" width="26.5703125" style="76" customWidth="1"/>
    <col min="11278" max="11278" width="3.85546875" style="76" customWidth="1"/>
    <col min="11279" max="11279" width="9.85546875" style="76" customWidth="1"/>
    <col min="11280" max="11280" width="3.5703125" style="76" customWidth="1"/>
    <col min="11281" max="11281" width="17.140625" style="76" customWidth="1"/>
    <col min="11282" max="11520" width="9.140625" style="76"/>
    <col min="11521" max="11521" width="1.28515625" style="76" customWidth="1"/>
    <col min="11522" max="11522" width="2.5703125" style="76" customWidth="1"/>
    <col min="11523" max="11523" width="3.5703125" style="76" customWidth="1"/>
    <col min="11524" max="11524" width="1.28515625" style="76" customWidth="1"/>
    <col min="11525" max="11525" width="14.7109375" style="76" customWidth="1"/>
    <col min="11526" max="11526" width="11.140625" style="76" customWidth="1"/>
    <col min="11527" max="11527" width="17.28515625" style="76" customWidth="1"/>
    <col min="11528" max="11528" width="2.5703125" style="76" customWidth="1"/>
    <col min="11529" max="11529" width="3.42578125" style="76" customWidth="1"/>
    <col min="11530" max="11530" width="1.5703125" style="76" customWidth="1"/>
    <col min="11531" max="11531" width="7.7109375" style="76" customWidth="1"/>
    <col min="11532" max="11532" width="5.5703125" style="76" customWidth="1"/>
    <col min="11533" max="11533" width="26.5703125" style="76" customWidth="1"/>
    <col min="11534" max="11534" width="3.85546875" style="76" customWidth="1"/>
    <col min="11535" max="11535" width="9.85546875" style="76" customWidth="1"/>
    <col min="11536" max="11536" width="3.5703125" style="76" customWidth="1"/>
    <col min="11537" max="11537" width="17.140625" style="76" customWidth="1"/>
    <col min="11538" max="11776" width="9.140625" style="76"/>
    <col min="11777" max="11777" width="1.28515625" style="76" customWidth="1"/>
    <col min="11778" max="11778" width="2.5703125" style="76" customWidth="1"/>
    <col min="11779" max="11779" width="3.5703125" style="76" customWidth="1"/>
    <col min="11780" max="11780" width="1.28515625" style="76" customWidth="1"/>
    <col min="11781" max="11781" width="14.7109375" style="76" customWidth="1"/>
    <col min="11782" max="11782" width="11.140625" style="76" customWidth="1"/>
    <col min="11783" max="11783" width="17.28515625" style="76" customWidth="1"/>
    <col min="11784" max="11784" width="2.5703125" style="76" customWidth="1"/>
    <col min="11785" max="11785" width="3.42578125" style="76" customWidth="1"/>
    <col min="11786" max="11786" width="1.5703125" style="76" customWidth="1"/>
    <col min="11787" max="11787" width="7.7109375" style="76" customWidth="1"/>
    <col min="11788" max="11788" width="5.5703125" style="76" customWidth="1"/>
    <col min="11789" max="11789" width="26.5703125" style="76" customWidth="1"/>
    <col min="11790" max="11790" width="3.85546875" style="76" customWidth="1"/>
    <col min="11791" max="11791" width="9.85546875" style="76" customWidth="1"/>
    <col min="11792" max="11792" width="3.5703125" style="76" customWidth="1"/>
    <col min="11793" max="11793" width="17.140625" style="76" customWidth="1"/>
    <col min="11794" max="12032" width="9.140625" style="76"/>
    <col min="12033" max="12033" width="1.28515625" style="76" customWidth="1"/>
    <col min="12034" max="12034" width="2.5703125" style="76" customWidth="1"/>
    <col min="12035" max="12035" width="3.5703125" style="76" customWidth="1"/>
    <col min="12036" max="12036" width="1.28515625" style="76" customWidth="1"/>
    <col min="12037" max="12037" width="14.7109375" style="76" customWidth="1"/>
    <col min="12038" max="12038" width="11.140625" style="76" customWidth="1"/>
    <col min="12039" max="12039" width="17.28515625" style="76" customWidth="1"/>
    <col min="12040" max="12040" width="2.5703125" style="76" customWidth="1"/>
    <col min="12041" max="12041" width="3.42578125" style="76" customWidth="1"/>
    <col min="12042" max="12042" width="1.5703125" style="76" customWidth="1"/>
    <col min="12043" max="12043" width="7.7109375" style="76" customWidth="1"/>
    <col min="12044" max="12044" width="5.5703125" style="76" customWidth="1"/>
    <col min="12045" max="12045" width="26.5703125" style="76" customWidth="1"/>
    <col min="12046" max="12046" width="3.85546875" style="76" customWidth="1"/>
    <col min="12047" max="12047" width="9.85546875" style="76" customWidth="1"/>
    <col min="12048" max="12048" width="3.5703125" style="76" customWidth="1"/>
    <col min="12049" max="12049" width="17.140625" style="76" customWidth="1"/>
    <col min="12050" max="12288" width="9.140625" style="76"/>
    <col min="12289" max="12289" width="1.28515625" style="76" customWidth="1"/>
    <col min="12290" max="12290" width="2.5703125" style="76" customWidth="1"/>
    <col min="12291" max="12291" width="3.5703125" style="76" customWidth="1"/>
    <col min="12292" max="12292" width="1.28515625" style="76" customWidth="1"/>
    <col min="12293" max="12293" width="14.7109375" style="76" customWidth="1"/>
    <col min="12294" max="12294" width="11.140625" style="76" customWidth="1"/>
    <col min="12295" max="12295" width="17.28515625" style="76" customWidth="1"/>
    <col min="12296" max="12296" width="2.5703125" style="76" customWidth="1"/>
    <col min="12297" max="12297" width="3.42578125" style="76" customWidth="1"/>
    <col min="12298" max="12298" width="1.5703125" style="76" customWidth="1"/>
    <col min="12299" max="12299" width="7.7109375" style="76" customWidth="1"/>
    <col min="12300" max="12300" width="5.5703125" style="76" customWidth="1"/>
    <col min="12301" max="12301" width="26.5703125" style="76" customWidth="1"/>
    <col min="12302" max="12302" width="3.85546875" style="76" customWidth="1"/>
    <col min="12303" max="12303" width="9.85546875" style="76" customWidth="1"/>
    <col min="12304" max="12304" width="3.5703125" style="76" customWidth="1"/>
    <col min="12305" max="12305" width="17.140625" style="76" customWidth="1"/>
    <col min="12306" max="12544" width="9.140625" style="76"/>
    <col min="12545" max="12545" width="1.28515625" style="76" customWidth="1"/>
    <col min="12546" max="12546" width="2.5703125" style="76" customWidth="1"/>
    <col min="12547" max="12547" width="3.5703125" style="76" customWidth="1"/>
    <col min="12548" max="12548" width="1.28515625" style="76" customWidth="1"/>
    <col min="12549" max="12549" width="14.7109375" style="76" customWidth="1"/>
    <col min="12550" max="12550" width="11.140625" style="76" customWidth="1"/>
    <col min="12551" max="12551" width="17.28515625" style="76" customWidth="1"/>
    <col min="12552" max="12552" width="2.5703125" style="76" customWidth="1"/>
    <col min="12553" max="12553" width="3.42578125" style="76" customWidth="1"/>
    <col min="12554" max="12554" width="1.5703125" style="76" customWidth="1"/>
    <col min="12555" max="12555" width="7.7109375" style="76" customWidth="1"/>
    <col min="12556" max="12556" width="5.5703125" style="76" customWidth="1"/>
    <col min="12557" max="12557" width="26.5703125" style="76" customWidth="1"/>
    <col min="12558" max="12558" width="3.85546875" style="76" customWidth="1"/>
    <col min="12559" max="12559" width="9.85546875" style="76" customWidth="1"/>
    <col min="12560" max="12560" width="3.5703125" style="76" customWidth="1"/>
    <col min="12561" max="12561" width="17.140625" style="76" customWidth="1"/>
    <col min="12562" max="12800" width="9.140625" style="76"/>
    <col min="12801" max="12801" width="1.28515625" style="76" customWidth="1"/>
    <col min="12802" max="12802" width="2.5703125" style="76" customWidth="1"/>
    <col min="12803" max="12803" width="3.5703125" style="76" customWidth="1"/>
    <col min="12804" max="12804" width="1.28515625" style="76" customWidth="1"/>
    <col min="12805" max="12805" width="14.7109375" style="76" customWidth="1"/>
    <col min="12806" max="12806" width="11.140625" style="76" customWidth="1"/>
    <col min="12807" max="12807" width="17.28515625" style="76" customWidth="1"/>
    <col min="12808" max="12808" width="2.5703125" style="76" customWidth="1"/>
    <col min="12809" max="12809" width="3.42578125" style="76" customWidth="1"/>
    <col min="12810" max="12810" width="1.5703125" style="76" customWidth="1"/>
    <col min="12811" max="12811" width="7.7109375" style="76" customWidth="1"/>
    <col min="12812" max="12812" width="5.5703125" style="76" customWidth="1"/>
    <col min="12813" max="12813" width="26.5703125" style="76" customWidth="1"/>
    <col min="12814" max="12814" width="3.85546875" style="76" customWidth="1"/>
    <col min="12815" max="12815" width="9.85546875" style="76" customWidth="1"/>
    <col min="12816" max="12816" width="3.5703125" style="76" customWidth="1"/>
    <col min="12817" max="12817" width="17.140625" style="76" customWidth="1"/>
    <col min="12818" max="13056" width="9.140625" style="76"/>
    <col min="13057" max="13057" width="1.28515625" style="76" customWidth="1"/>
    <col min="13058" max="13058" width="2.5703125" style="76" customWidth="1"/>
    <col min="13059" max="13059" width="3.5703125" style="76" customWidth="1"/>
    <col min="13060" max="13060" width="1.28515625" style="76" customWidth="1"/>
    <col min="13061" max="13061" width="14.7109375" style="76" customWidth="1"/>
    <col min="13062" max="13062" width="11.140625" style="76" customWidth="1"/>
    <col min="13063" max="13063" width="17.28515625" style="76" customWidth="1"/>
    <col min="13064" max="13064" width="2.5703125" style="76" customWidth="1"/>
    <col min="13065" max="13065" width="3.42578125" style="76" customWidth="1"/>
    <col min="13066" max="13066" width="1.5703125" style="76" customWidth="1"/>
    <col min="13067" max="13067" width="7.7109375" style="76" customWidth="1"/>
    <col min="13068" max="13068" width="5.5703125" style="76" customWidth="1"/>
    <col min="13069" max="13069" width="26.5703125" style="76" customWidth="1"/>
    <col min="13070" max="13070" width="3.85546875" style="76" customWidth="1"/>
    <col min="13071" max="13071" width="9.85546875" style="76" customWidth="1"/>
    <col min="13072" max="13072" width="3.5703125" style="76" customWidth="1"/>
    <col min="13073" max="13073" width="17.140625" style="76" customWidth="1"/>
    <col min="13074" max="13312" width="9.140625" style="76"/>
    <col min="13313" max="13313" width="1.28515625" style="76" customWidth="1"/>
    <col min="13314" max="13314" width="2.5703125" style="76" customWidth="1"/>
    <col min="13315" max="13315" width="3.5703125" style="76" customWidth="1"/>
    <col min="13316" max="13316" width="1.28515625" style="76" customWidth="1"/>
    <col min="13317" max="13317" width="14.7109375" style="76" customWidth="1"/>
    <col min="13318" max="13318" width="11.140625" style="76" customWidth="1"/>
    <col min="13319" max="13319" width="17.28515625" style="76" customWidth="1"/>
    <col min="13320" max="13320" width="2.5703125" style="76" customWidth="1"/>
    <col min="13321" max="13321" width="3.42578125" style="76" customWidth="1"/>
    <col min="13322" max="13322" width="1.5703125" style="76" customWidth="1"/>
    <col min="13323" max="13323" width="7.7109375" style="76" customWidth="1"/>
    <col min="13324" max="13324" width="5.5703125" style="76" customWidth="1"/>
    <col min="13325" max="13325" width="26.5703125" style="76" customWidth="1"/>
    <col min="13326" max="13326" width="3.85546875" style="76" customWidth="1"/>
    <col min="13327" max="13327" width="9.85546875" style="76" customWidth="1"/>
    <col min="13328" max="13328" width="3.5703125" style="76" customWidth="1"/>
    <col min="13329" max="13329" width="17.140625" style="76" customWidth="1"/>
    <col min="13330" max="13568" width="9.140625" style="76"/>
    <col min="13569" max="13569" width="1.28515625" style="76" customWidth="1"/>
    <col min="13570" max="13570" width="2.5703125" style="76" customWidth="1"/>
    <col min="13571" max="13571" width="3.5703125" style="76" customWidth="1"/>
    <col min="13572" max="13572" width="1.28515625" style="76" customWidth="1"/>
    <col min="13573" max="13573" width="14.7109375" style="76" customWidth="1"/>
    <col min="13574" max="13574" width="11.140625" style="76" customWidth="1"/>
    <col min="13575" max="13575" width="17.28515625" style="76" customWidth="1"/>
    <col min="13576" max="13576" width="2.5703125" style="76" customWidth="1"/>
    <col min="13577" max="13577" width="3.42578125" style="76" customWidth="1"/>
    <col min="13578" max="13578" width="1.5703125" style="76" customWidth="1"/>
    <col min="13579" max="13579" width="7.7109375" style="76" customWidth="1"/>
    <col min="13580" max="13580" width="5.5703125" style="76" customWidth="1"/>
    <col min="13581" max="13581" width="26.5703125" style="76" customWidth="1"/>
    <col min="13582" max="13582" width="3.85546875" style="76" customWidth="1"/>
    <col min="13583" max="13583" width="9.85546875" style="76" customWidth="1"/>
    <col min="13584" max="13584" width="3.5703125" style="76" customWidth="1"/>
    <col min="13585" max="13585" width="17.140625" style="76" customWidth="1"/>
    <col min="13586" max="13824" width="9.140625" style="76"/>
    <col min="13825" max="13825" width="1.28515625" style="76" customWidth="1"/>
    <col min="13826" max="13826" width="2.5703125" style="76" customWidth="1"/>
    <col min="13827" max="13827" width="3.5703125" style="76" customWidth="1"/>
    <col min="13828" max="13828" width="1.28515625" style="76" customWidth="1"/>
    <col min="13829" max="13829" width="14.7109375" style="76" customWidth="1"/>
    <col min="13830" max="13830" width="11.140625" style="76" customWidth="1"/>
    <col min="13831" max="13831" width="17.28515625" style="76" customWidth="1"/>
    <col min="13832" max="13832" width="2.5703125" style="76" customWidth="1"/>
    <col min="13833" max="13833" width="3.42578125" style="76" customWidth="1"/>
    <col min="13834" max="13834" width="1.5703125" style="76" customWidth="1"/>
    <col min="13835" max="13835" width="7.7109375" style="76" customWidth="1"/>
    <col min="13836" max="13836" width="5.5703125" style="76" customWidth="1"/>
    <col min="13837" max="13837" width="26.5703125" style="76" customWidth="1"/>
    <col min="13838" max="13838" width="3.85546875" style="76" customWidth="1"/>
    <col min="13839" max="13839" width="9.85546875" style="76" customWidth="1"/>
    <col min="13840" max="13840" width="3.5703125" style="76" customWidth="1"/>
    <col min="13841" max="13841" width="17.140625" style="76" customWidth="1"/>
    <col min="13842" max="14080" width="9.140625" style="76"/>
    <col min="14081" max="14081" width="1.28515625" style="76" customWidth="1"/>
    <col min="14082" max="14082" width="2.5703125" style="76" customWidth="1"/>
    <col min="14083" max="14083" width="3.5703125" style="76" customWidth="1"/>
    <col min="14084" max="14084" width="1.28515625" style="76" customWidth="1"/>
    <col min="14085" max="14085" width="14.7109375" style="76" customWidth="1"/>
    <col min="14086" max="14086" width="11.140625" style="76" customWidth="1"/>
    <col min="14087" max="14087" width="17.28515625" style="76" customWidth="1"/>
    <col min="14088" max="14088" width="2.5703125" style="76" customWidth="1"/>
    <col min="14089" max="14089" width="3.42578125" style="76" customWidth="1"/>
    <col min="14090" max="14090" width="1.5703125" style="76" customWidth="1"/>
    <col min="14091" max="14091" width="7.7109375" style="76" customWidth="1"/>
    <col min="14092" max="14092" width="5.5703125" style="76" customWidth="1"/>
    <col min="14093" max="14093" width="26.5703125" style="76" customWidth="1"/>
    <col min="14094" max="14094" width="3.85546875" style="76" customWidth="1"/>
    <col min="14095" max="14095" width="9.85546875" style="76" customWidth="1"/>
    <col min="14096" max="14096" width="3.5703125" style="76" customWidth="1"/>
    <col min="14097" max="14097" width="17.140625" style="76" customWidth="1"/>
    <col min="14098" max="14336" width="9.140625" style="76"/>
    <col min="14337" max="14337" width="1.28515625" style="76" customWidth="1"/>
    <col min="14338" max="14338" width="2.5703125" style="76" customWidth="1"/>
    <col min="14339" max="14339" width="3.5703125" style="76" customWidth="1"/>
    <col min="14340" max="14340" width="1.28515625" style="76" customWidth="1"/>
    <col min="14341" max="14341" width="14.7109375" style="76" customWidth="1"/>
    <col min="14342" max="14342" width="11.140625" style="76" customWidth="1"/>
    <col min="14343" max="14343" width="17.28515625" style="76" customWidth="1"/>
    <col min="14344" max="14344" width="2.5703125" style="76" customWidth="1"/>
    <col min="14345" max="14345" width="3.42578125" style="76" customWidth="1"/>
    <col min="14346" max="14346" width="1.5703125" style="76" customWidth="1"/>
    <col min="14347" max="14347" width="7.7109375" style="76" customWidth="1"/>
    <col min="14348" max="14348" width="5.5703125" style="76" customWidth="1"/>
    <col min="14349" max="14349" width="26.5703125" style="76" customWidth="1"/>
    <col min="14350" max="14350" width="3.85546875" style="76" customWidth="1"/>
    <col min="14351" max="14351" width="9.85546875" style="76" customWidth="1"/>
    <col min="14352" max="14352" width="3.5703125" style="76" customWidth="1"/>
    <col min="14353" max="14353" width="17.140625" style="76" customWidth="1"/>
    <col min="14354" max="14592" width="9.140625" style="76"/>
    <col min="14593" max="14593" width="1.28515625" style="76" customWidth="1"/>
    <col min="14594" max="14594" width="2.5703125" style="76" customWidth="1"/>
    <col min="14595" max="14595" width="3.5703125" style="76" customWidth="1"/>
    <col min="14596" max="14596" width="1.28515625" style="76" customWidth="1"/>
    <col min="14597" max="14597" width="14.7109375" style="76" customWidth="1"/>
    <col min="14598" max="14598" width="11.140625" style="76" customWidth="1"/>
    <col min="14599" max="14599" width="17.28515625" style="76" customWidth="1"/>
    <col min="14600" max="14600" width="2.5703125" style="76" customWidth="1"/>
    <col min="14601" max="14601" width="3.42578125" style="76" customWidth="1"/>
    <col min="14602" max="14602" width="1.5703125" style="76" customWidth="1"/>
    <col min="14603" max="14603" width="7.7109375" style="76" customWidth="1"/>
    <col min="14604" max="14604" width="5.5703125" style="76" customWidth="1"/>
    <col min="14605" max="14605" width="26.5703125" style="76" customWidth="1"/>
    <col min="14606" max="14606" width="3.85546875" style="76" customWidth="1"/>
    <col min="14607" max="14607" width="9.85546875" style="76" customWidth="1"/>
    <col min="14608" max="14608" width="3.5703125" style="76" customWidth="1"/>
    <col min="14609" max="14609" width="17.140625" style="76" customWidth="1"/>
    <col min="14610" max="14848" width="9.140625" style="76"/>
    <col min="14849" max="14849" width="1.28515625" style="76" customWidth="1"/>
    <col min="14850" max="14850" width="2.5703125" style="76" customWidth="1"/>
    <col min="14851" max="14851" width="3.5703125" style="76" customWidth="1"/>
    <col min="14852" max="14852" width="1.28515625" style="76" customWidth="1"/>
    <col min="14853" max="14853" width="14.7109375" style="76" customWidth="1"/>
    <col min="14854" max="14854" width="11.140625" style="76" customWidth="1"/>
    <col min="14855" max="14855" width="17.28515625" style="76" customWidth="1"/>
    <col min="14856" max="14856" width="2.5703125" style="76" customWidth="1"/>
    <col min="14857" max="14857" width="3.42578125" style="76" customWidth="1"/>
    <col min="14858" max="14858" width="1.5703125" style="76" customWidth="1"/>
    <col min="14859" max="14859" width="7.7109375" style="76" customWidth="1"/>
    <col min="14860" max="14860" width="5.5703125" style="76" customWidth="1"/>
    <col min="14861" max="14861" width="26.5703125" style="76" customWidth="1"/>
    <col min="14862" max="14862" width="3.85546875" style="76" customWidth="1"/>
    <col min="14863" max="14863" width="9.85546875" style="76" customWidth="1"/>
    <col min="14864" max="14864" width="3.5703125" style="76" customWidth="1"/>
    <col min="14865" max="14865" width="17.140625" style="76" customWidth="1"/>
    <col min="14866" max="15104" width="9.140625" style="76"/>
    <col min="15105" max="15105" width="1.28515625" style="76" customWidth="1"/>
    <col min="15106" max="15106" width="2.5703125" style="76" customWidth="1"/>
    <col min="15107" max="15107" width="3.5703125" style="76" customWidth="1"/>
    <col min="15108" max="15108" width="1.28515625" style="76" customWidth="1"/>
    <col min="15109" max="15109" width="14.7109375" style="76" customWidth="1"/>
    <col min="15110" max="15110" width="11.140625" style="76" customWidth="1"/>
    <col min="15111" max="15111" width="17.28515625" style="76" customWidth="1"/>
    <col min="15112" max="15112" width="2.5703125" style="76" customWidth="1"/>
    <col min="15113" max="15113" width="3.42578125" style="76" customWidth="1"/>
    <col min="15114" max="15114" width="1.5703125" style="76" customWidth="1"/>
    <col min="15115" max="15115" width="7.7109375" style="76" customWidth="1"/>
    <col min="15116" max="15116" width="5.5703125" style="76" customWidth="1"/>
    <col min="15117" max="15117" width="26.5703125" style="76" customWidth="1"/>
    <col min="15118" max="15118" width="3.85546875" style="76" customWidth="1"/>
    <col min="15119" max="15119" width="9.85546875" style="76" customWidth="1"/>
    <col min="15120" max="15120" width="3.5703125" style="76" customWidth="1"/>
    <col min="15121" max="15121" width="17.140625" style="76" customWidth="1"/>
    <col min="15122" max="15360" width="9.140625" style="76"/>
    <col min="15361" max="15361" width="1.28515625" style="76" customWidth="1"/>
    <col min="15362" max="15362" width="2.5703125" style="76" customWidth="1"/>
    <col min="15363" max="15363" width="3.5703125" style="76" customWidth="1"/>
    <col min="15364" max="15364" width="1.28515625" style="76" customWidth="1"/>
    <col min="15365" max="15365" width="14.7109375" style="76" customWidth="1"/>
    <col min="15366" max="15366" width="11.140625" style="76" customWidth="1"/>
    <col min="15367" max="15367" width="17.28515625" style="76" customWidth="1"/>
    <col min="15368" max="15368" width="2.5703125" style="76" customWidth="1"/>
    <col min="15369" max="15369" width="3.42578125" style="76" customWidth="1"/>
    <col min="15370" max="15370" width="1.5703125" style="76" customWidth="1"/>
    <col min="15371" max="15371" width="7.7109375" style="76" customWidth="1"/>
    <col min="15372" max="15372" width="5.5703125" style="76" customWidth="1"/>
    <col min="15373" max="15373" width="26.5703125" style="76" customWidth="1"/>
    <col min="15374" max="15374" width="3.85546875" style="76" customWidth="1"/>
    <col min="15375" max="15375" width="9.85546875" style="76" customWidth="1"/>
    <col min="15376" max="15376" width="3.5703125" style="76" customWidth="1"/>
    <col min="15377" max="15377" width="17.140625" style="76" customWidth="1"/>
    <col min="15378" max="15616" width="9.140625" style="76"/>
    <col min="15617" max="15617" width="1.28515625" style="76" customWidth="1"/>
    <col min="15618" max="15618" width="2.5703125" style="76" customWidth="1"/>
    <col min="15619" max="15619" width="3.5703125" style="76" customWidth="1"/>
    <col min="15620" max="15620" width="1.28515625" style="76" customWidth="1"/>
    <col min="15621" max="15621" width="14.7109375" style="76" customWidth="1"/>
    <col min="15622" max="15622" width="11.140625" style="76" customWidth="1"/>
    <col min="15623" max="15623" width="17.28515625" style="76" customWidth="1"/>
    <col min="15624" max="15624" width="2.5703125" style="76" customWidth="1"/>
    <col min="15625" max="15625" width="3.42578125" style="76" customWidth="1"/>
    <col min="15626" max="15626" width="1.5703125" style="76" customWidth="1"/>
    <col min="15627" max="15627" width="7.7109375" style="76" customWidth="1"/>
    <col min="15628" max="15628" width="5.5703125" style="76" customWidth="1"/>
    <col min="15629" max="15629" width="26.5703125" style="76" customWidth="1"/>
    <col min="15630" max="15630" width="3.85546875" style="76" customWidth="1"/>
    <col min="15631" max="15631" width="9.85546875" style="76" customWidth="1"/>
    <col min="15632" max="15632" width="3.5703125" style="76" customWidth="1"/>
    <col min="15633" max="15633" width="17.140625" style="76" customWidth="1"/>
    <col min="15634" max="15872" width="9.140625" style="76"/>
    <col min="15873" max="15873" width="1.28515625" style="76" customWidth="1"/>
    <col min="15874" max="15874" width="2.5703125" style="76" customWidth="1"/>
    <col min="15875" max="15875" width="3.5703125" style="76" customWidth="1"/>
    <col min="15876" max="15876" width="1.28515625" style="76" customWidth="1"/>
    <col min="15877" max="15877" width="14.7109375" style="76" customWidth="1"/>
    <col min="15878" max="15878" width="11.140625" style="76" customWidth="1"/>
    <col min="15879" max="15879" width="17.28515625" style="76" customWidth="1"/>
    <col min="15880" max="15880" width="2.5703125" style="76" customWidth="1"/>
    <col min="15881" max="15881" width="3.42578125" style="76" customWidth="1"/>
    <col min="15882" max="15882" width="1.5703125" style="76" customWidth="1"/>
    <col min="15883" max="15883" width="7.7109375" style="76" customWidth="1"/>
    <col min="15884" max="15884" width="5.5703125" style="76" customWidth="1"/>
    <col min="15885" max="15885" width="26.5703125" style="76" customWidth="1"/>
    <col min="15886" max="15886" width="3.85546875" style="76" customWidth="1"/>
    <col min="15887" max="15887" width="9.85546875" style="76" customWidth="1"/>
    <col min="15888" max="15888" width="3.5703125" style="76" customWidth="1"/>
    <col min="15889" max="15889" width="17.140625" style="76" customWidth="1"/>
    <col min="15890" max="16128" width="9.140625" style="76"/>
    <col min="16129" max="16129" width="1.28515625" style="76" customWidth="1"/>
    <col min="16130" max="16130" width="2.5703125" style="76" customWidth="1"/>
    <col min="16131" max="16131" width="3.5703125" style="76" customWidth="1"/>
    <col min="16132" max="16132" width="1.28515625" style="76" customWidth="1"/>
    <col min="16133" max="16133" width="14.7109375" style="76" customWidth="1"/>
    <col min="16134" max="16134" width="11.140625" style="76" customWidth="1"/>
    <col min="16135" max="16135" width="17.28515625" style="76" customWidth="1"/>
    <col min="16136" max="16136" width="2.5703125" style="76" customWidth="1"/>
    <col min="16137" max="16137" width="3.42578125" style="76" customWidth="1"/>
    <col min="16138" max="16138" width="1.5703125" style="76" customWidth="1"/>
    <col min="16139" max="16139" width="7.7109375" style="76" customWidth="1"/>
    <col min="16140" max="16140" width="5.5703125" style="76" customWidth="1"/>
    <col min="16141" max="16141" width="26.5703125" style="76" customWidth="1"/>
    <col min="16142" max="16142" width="3.85546875" style="76" customWidth="1"/>
    <col min="16143" max="16143" width="9.85546875" style="76" customWidth="1"/>
    <col min="16144" max="16144" width="3.5703125" style="76" customWidth="1"/>
    <col min="16145" max="16145" width="17.140625" style="76" customWidth="1"/>
    <col min="16146" max="16384" width="9.140625" style="76"/>
  </cols>
  <sheetData>
    <row r="1" spans="1:26" ht="8.25" customHeight="1" thickBot="1" x14ac:dyDescent="0.25"/>
    <row r="2" spans="1:26" ht="15" customHeight="1" x14ac:dyDescent="0.2">
      <c r="B2" s="158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60"/>
    </row>
    <row r="3" spans="1:26" ht="23.25" x14ac:dyDescent="0.2">
      <c r="B3" s="68"/>
      <c r="C3" s="163" t="s">
        <v>314</v>
      </c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69"/>
    </row>
    <row r="4" spans="1:26" ht="18.75" x14ac:dyDescent="0.2">
      <c r="B4" s="68"/>
      <c r="C4" s="128" t="s">
        <v>241</v>
      </c>
      <c r="D4" s="128"/>
      <c r="E4" s="128"/>
      <c r="F4" s="127" t="str">
        <f>TextJobName</f>
        <v>Standard Product</v>
      </c>
      <c r="G4" s="127"/>
      <c r="H4" s="127"/>
      <c r="I4" s="127"/>
      <c r="J4" s="127"/>
      <c r="K4" s="127"/>
      <c r="L4" s="127"/>
      <c r="M4" s="127"/>
      <c r="N4" s="69"/>
      <c r="R4" s="108"/>
      <c r="S4" s="108"/>
      <c r="T4" s="108"/>
    </row>
    <row r="5" spans="1:26" ht="18.75" x14ac:dyDescent="0.2">
      <c r="B5" s="68"/>
      <c r="C5" s="128" t="s">
        <v>58</v>
      </c>
      <c r="D5" s="128"/>
      <c r="E5" s="128"/>
      <c r="F5" s="129" t="str">
        <f>TextBy</f>
        <v>Mujeeb</v>
      </c>
      <c r="G5" s="129"/>
      <c r="H5" s="70"/>
      <c r="I5" s="128" t="s">
        <v>242</v>
      </c>
      <c r="J5" s="128"/>
      <c r="K5" s="128"/>
      <c r="L5" s="128"/>
      <c r="M5" s="109" t="str">
        <f>'Project Info'!H5</f>
        <v>ABD Assembly-10106LTAG</v>
      </c>
      <c r="N5" s="69"/>
    </row>
    <row r="6" spans="1:26" ht="18.75" x14ac:dyDescent="0.2">
      <c r="B6" s="68"/>
      <c r="C6" s="162" t="s">
        <v>243</v>
      </c>
      <c r="D6" s="162"/>
      <c r="E6" s="162"/>
      <c r="F6" s="127" t="str">
        <f>TextSerialNo</f>
        <v/>
      </c>
      <c r="G6" s="127"/>
      <c r="H6" s="70"/>
      <c r="I6" s="128" t="s">
        <v>244</v>
      </c>
      <c r="J6" s="128"/>
      <c r="K6" s="128"/>
      <c r="L6" s="128"/>
      <c r="M6" s="110" t="str">
        <f>TextShipDate</f>
        <v/>
      </c>
      <c r="N6" s="69"/>
      <c r="Z6" s="81" t="s">
        <v>293</v>
      </c>
    </row>
    <row r="7" spans="1:26" ht="15.75" thickBot="1" x14ac:dyDescent="0.25">
      <c r="B7" s="71"/>
      <c r="C7" s="72" t="s">
        <v>245</v>
      </c>
      <c r="D7" s="73"/>
      <c r="E7" s="74"/>
      <c r="F7" s="73" t="s">
        <v>313</v>
      </c>
      <c r="G7" s="73"/>
      <c r="H7" s="73"/>
      <c r="I7" s="73"/>
      <c r="J7" s="73"/>
      <c r="K7" s="73"/>
      <c r="L7" s="73"/>
      <c r="M7" s="71"/>
      <c r="N7" s="75"/>
      <c r="Z7" s="81" t="s">
        <v>294</v>
      </c>
    </row>
    <row r="8" spans="1:26" ht="7.5" customHeight="1" thickBot="1" x14ac:dyDescent="0.25">
      <c r="B8" s="68"/>
      <c r="C8" s="72"/>
      <c r="D8" s="115"/>
      <c r="E8" s="114"/>
      <c r="F8" s="113"/>
      <c r="G8" s="115"/>
      <c r="H8" s="113"/>
      <c r="I8" s="73"/>
      <c r="J8" s="115"/>
      <c r="K8" s="113"/>
      <c r="L8" s="113"/>
      <c r="M8" s="115"/>
      <c r="N8" s="69"/>
      <c r="Z8" s="81"/>
    </row>
    <row r="9" spans="1:26" s="77" customFormat="1" ht="19.5" thickBot="1" x14ac:dyDescent="0.25">
      <c r="A9" s="80"/>
      <c r="B9" s="86"/>
      <c r="C9" s="87"/>
      <c r="D9" s="80"/>
      <c r="E9" s="133" t="s">
        <v>246</v>
      </c>
      <c r="F9" s="134"/>
      <c r="G9" s="135"/>
      <c r="H9" s="88"/>
      <c r="I9" s="87"/>
      <c r="J9" s="80"/>
      <c r="K9" s="133" t="s">
        <v>247</v>
      </c>
      <c r="L9" s="134"/>
      <c r="M9" s="135"/>
      <c r="N9" s="89"/>
      <c r="Z9" s="81" t="s">
        <v>298</v>
      </c>
    </row>
    <row r="10" spans="1:26" s="77" customFormat="1" ht="16.5" thickBot="1" x14ac:dyDescent="0.25">
      <c r="A10" s="76"/>
      <c r="B10" s="78"/>
      <c r="C10" s="76"/>
      <c r="D10" s="76"/>
      <c r="E10" s="133"/>
      <c r="F10" s="134"/>
      <c r="G10" s="135"/>
      <c r="H10" s="88"/>
      <c r="I10" s="76"/>
      <c r="J10" s="76"/>
      <c r="K10" s="133"/>
      <c r="L10" s="134"/>
      <c r="M10" s="135"/>
      <c r="N10" s="79"/>
      <c r="Z10" s="81" t="s">
        <v>295</v>
      </c>
    </row>
    <row r="11" spans="1:26" s="77" customFormat="1" ht="19.5" thickBot="1" x14ac:dyDescent="0.25">
      <c r="A11" s="80"/>
      <c r="B11" s="86"/>
      <c r="C11" s="90"/>
      <c r="D11" s="80"/>
      <c r="E11" s="133" t="s">
        <v>248</v>
      </c>
      <c r="F11" s="134"/>
      <c r="G11" s="135"/>
      <c r="H11" s="88"/>
      <c r="I11" s="90"/>
      <c r="J11" s="80"/>
      <c r="K11" s="133" t="s">
        <v>249</v>
      </c>
      <c r="L11" s="134"/>
      <c r="M11" s="135"/>
      <c r="N11" s="89"/>
      <c r="Z11" s="81" t="s">
        <v>299</v>
      </c>
    </row>
    <row r="12" spans="1:26" s="77" customFormat="1" ht="16.5" thickBot="1" x14ac:dyDescent="0.25">
      <c r="A12" s="76"/>
      <c r="B12" s="78"/>
      <c r="C12" s="76"/>
      <c r="D12" s="76"/>
      <c r="E12" s="133"/>
      <c r="F12" s="134"/>
      <c r="G12" s="135"/>
      <c r="H12" s="88"/>
      <c r="I12" s="76"/>
      <c r="J12" s="76"/>
      <c r="K12" s="133"/>
      <c r="L12" s="134"/>
      <c r="M12" s="135"/>
      <c r="N12" s="79"/>
      <c r="Z12" s="81" t="s">
        <v>300</v>
      </c>
    </row>
    <row r="13" spans="1:26" s="77" customFormat="1" ht="19.5" thickBot="1" x14ac:dyDescent="0.25">
      <c r="A13" s="80"/>
      <c r="B13" s="86"/>
      <c r="C13" s="90"/>
      <c r="D13" s="80"/>
      <c r="E13" s="133" t="s">
        <v>250</v>
      </c>
      <c r="F13" s="134"/>
      <c r="G13" s="135"/>
      <c r="H13" s="88"/>
      <c r="I13" s="90"/>
      <c r="J13" s="80"/>
      <c r="K13" s="133" t="s">
        <v>251</v>
      </c>
      <c r="L13" s="134"/>
      <c r="M13" s="135"/>
      <c r="N13" s="89"/>
      <c r="Z13" s="81" t="s">
        <v>301</v>
      </c>
    </row>
    <row r="14" spans="1:26" s="77" customFormat="1" ht="16.5" thickBot="1" x14ac:dyDescent="0.25">
      <c r="A14" s="76"/>
      <c r="B14" s="78"/>
      <c r="C14" s="76"/>
      <c r="D14" s="76"/>
      <c r="E14" s="133"/>
      <c r="F14" s="134"/>
      <c r="G14" s="135"/>
      <c r="H14" s="88"/>
      <c r="I14" s="76"/>
      <c r="J14" s="76"/>
      <c r="K14" s="133"/>
      <c r="L14" s="134"/>
      <c r="M14" s="135"/>
      <c r="N14" s="79"/>
      <c r="Z14" s="81" t="s">
        <v>302</v>
      </c>
    </row>
    <row r="15" spans="1:26" s="77" customFormat="1" ht="19.5" thickBot="1" x14ac:dyDescent="0.25">
      <c r="A15" s="80"/>
      <c r="B15" s="86"/>
      <c r="C15" s="90"/>
      <c r="D15" s="80"/>
      <c r="E15" s="133" t="s">
        <v>252</v>
      </c>
      <c r="F15" s="134"/>
      <c r="G15" s="135"/>
      <c r="H15" s="88"/>
      <c r="I15" s="90"/>
      <c r="J15" s="80"/>
      <c r="K15" s="133" t="s">
        <v>253</v>
      </c>
      <c r="L15" s="134"/>
      <c r="M15" s="135"/>
      <c r="N15" s="89"/>
      <c r="Z15" s="81" t="s">
        <v>296</v>
      </c>
    </row>
    <row r="16" spans="1:26" s="77" customFormat="1" ht="16.5" thickBot="1" x14ac:dyDescent="0.25">
      <c r="A16" s="76"/>
      <c r="B16" s="78"/>
      <c r="C16" s="76"/>
      <c r="D16" s="76"/>
      <c r="E16" s="133"/>
      <c r="F16" s="134"/>
      <c r="G16" s="135"/>
      <c r="H16" s="88"/>
      <c r="I16" s="76"/>
      <c r="J16" s="76"/>
      <c r="K16" s="133"/>
      <c r="L16" s="134"/>
      <c r="M16" s="135"/>
      <c r="N16" s="79"/>
      <c r="Z16" s="81" t="s">
        <v>297</v>
      </c>
    </row>
    <row r="17" spans="1:14" s="77" customFormat="1" ht="19.5" thickBot="1" x14ac:dyDescent="0.25">
      <c r="A17" s="80"/>
      <c r="B17" s="86"/>
      <c r="C17" s="90"/>
      <c r="D17" s="80"/>
      <c r="E17" s="133" t="s">
        <v>254</v>
      </c>
      <c r="F17" s="134"/>
      <c r="G17" s="135"/>
      <c r="H17" s="88"/>
      <c r="I17" s="90"/>
      <c r="J17" s="80"/>
      <c r="K17" s="155" t="s">
        <v>255</v>
      </c>
      <c r="L17" s="156"/>
      <c r="M17" s="157"/>
      <c r="N17" s="89"/>
    </row>
    <row r="18" spans="1:14" s="77" customFormat="1" ht="16.5" thickBot="1" x14ac:dyDescent="0.25">
      <c r="A18" s="76"/>
      <c r="B18" s="78"/>
      <c r="C18" s="76"/>
      <c r="D18" s="76"/>
      <c r="E18" s="133"/>
      <c r="F18" s="134"/>
      <c r="G18" s="135"/>
      <c r="H18" s="88"/>
      <c r="I18" s="76"/>
      <c r="J18" s="76"/>
      <c r="K18" s="155"/>
      <c r="L18" s="156"/>
      <c r="M18" s="157"/>
      <c r="N18" s="79"/>
    </row>
    <row r="19" spans="1:14" s="77" customFormat="1" ht="19.5" thickBot="1" x14ac:dyDescent="0.25">
      <c r="A19" s="80"/>
      <c r="B19" s="86"/>
      <c r="C19" s="90"/>
      <c r="D19" s="80"/>
      <c r="E19" s="152" t="s">
        <v>256</v>
      </c>
      <c r="F19" s="153"/>
      <c r="G19" s="154"/>
      <c r="H19" s="88"/>
      <c r="I19" s="90"/>
      <c r="J19" s="80"/>
      <c r="K19" s="133" t="s">
        <v>257</v>
      </c>
      <c r="L19" s="134"/>
      <c r="M19" s="135"/>
      <c r="N19" s="89"/>
    </row>
    <row r="20" spans="1:14" s="77" customFormat="1" ht="16.5" thickBot="1" x14ac:dyDescent="0.25">
      <c r="A20" s="76"/>
      <c r="B20" s="78"/>
      <c r="C20" s="76"/>
      <c r="D20" s="76"/>
      <c r="E20" s="133"/>
      <c r="F20" s="134"/>
      <c r="G20" s="135"/>
      <c r="H20" s="88"/>
      <c r="I20" s="76"/>
      <c r="J20" s="76"/>
      <c r="K20" s="133"/>
      <c r="L20" s="134"/>
      <c r="M20" s="135"/>
      <c r="N20" s="79"/>
    </row>
    <row r="21" spans="1:14" s="77" customFormat="1" ht="19.5" thickBot="1" x14ac:dyDescent="0.25">
      <c r="A21" s="80"/>
      <c r="B21" s="86"/>
      <c r="C21" s="90"/>
      <c r="D21" s="80"/>
      <c r="E21" s="133" t="s">
        <v>258</v>
      </c>
      <c r="F21" s="134"/>
      <c r="G21" s="135"/>
      <c r="H21" s="88"/>
      <c r="I21" s="90"/>
      <c r="J21" s="80"/>
      <c r="K21" s="133" t="s">
        <v>259</v>
      </c>
      <c r="L21" s="134"/>
      <c r="M21" s="135"/>
      <c r="N21" s="89"/>
    </row>
    <row r="22" spans="1:14" s="77" customFormat="1" ht="16.5" thickBot="1" x14ac:dyDescent="0.25">
      <c r="A22" s="76"/>
      <c r="B22" s="78"/>
      <c r="C22" s="76"/>
      <c r="D22" s="76"/>
      <c r="E22" s="133"/>
      <c r="F22" s="134"/>
      <c r="G22" s="135"/>
      <c r="H22" s="88"/>
      <c r="I22" s="76"/>
      <c r="J22" s="76"/>
      <c r="K22" s="133"/>
      <c r="L22" s="134"/>
      <c r="M22" s="135"/>
      <c r="N22" s="79"/>
    </row>
    <row r="23" spans="1:14" s="77" customFormat="1" ht="19.5" thickBot="1" x14ac:dyDescent="0.25">
      <c r="A23" s="80"/>
      <c r="B23" s="86"/>
      <c r="C23" s="90"/>
      <c r="D23" s="80"/>
      <c r="E23" s="133" t="s">
        <v>260</v>
      </c>
      <c r="F23" s="134"/>
      <c r="G23" s="135"/>
      <c r="H23" s="88"/>
      <c r="I23" s="90"/>
      <c r="J23" s="80"/>
      <c r="K23" s="133" t="s">
        <v>261</v>
      </c>
      <c r="L23" s="134"/>
      <c r="M23" s="135"/>
      <c r="N23" s="89"/>
    </row>
    <row r="24" spans="1:14" s="77" customFormat="1" ht="16.5" thickBot="1" x14ac:dyDescent="0.25">
      <c r="A24" s="76"/>
      <c r="B24" s="78"/>
      <c r="C24" s="76"/>
      <c r="D24" s="76"/>
      <c r="E24" s="133"/>
      <c r="F24" s="134"/>
      <c r="G24" s="135"/>
      <c r="H24" s="88"/>
      <c r="I24" s="76"/>
      <c r="J24" s="76"/>
      <c r="K24" s="133"/>
      <c r="L24" s="134"/>
      <c r="M24" s="135"/>
      <c r="N24" s="79"/>
    </row>
    <row r="25" spans="1:14" s="77" customFormat="1" ht="19.5" thickBot="1" x14ac:dyDescent="0.25">
      <c r="A25" s="80"/>
      <c r="B25" s="86"/>
      <c r="C25" s="90"/>
      <c r="D25" s="80"/>
      <c r="E25" s="133" t="s">
        <v>262</v>
      </c>
      <c r="F25" s="134"/>
      <c r="G25" s="135"/>
      <c r="H25" s="88"/>
      <c r="I25" s="90"/>
      <c r="J25" s="80"/>
      <c r="K25" s="133" t="s">
        <v>263</v>
      </c>
      <c r="L25" s="134"/>
      <c r="M25" s="135"/>
      <c r="N25" s="89"/>
    </row>
    <row r="26" spans="1:14" s="77" customFormat="1" ht="16.5" thickBot="1" x14ac:dyDescent="0.25">
      <c r="A26" s="76"/>
      <c r="B26" s="78"/>
      <c r="C26" s="76"/>
      <c r="D26" s="76"/>
      <c r="E26" s="133"/>
      <c r="F26" s="134"/>
      <c r="G26" s="135"/>
      <c r="H26" s="88"/>
      <c r="I26" s="91"/>
      <c r="J26" s="76"/>
      <c r="K26" s="142"/>
      <c r="L26" s="143"/>
      <c r="M26" s="144"/>
      <c r="N26" s="79"/>
    </row>
    <row r="27" spans="1:14" s="77" customFormat="1" ht="19.5" thickBot="1" x14ac:dyDescent="0.25">
      <c r="A27" s="80"/>
      <c r="B27" s="86"/>
      <c r="C27" s="90"/>
      <c r="D27" s="80"/>
      <c r="E27" s="133" t="s">
        <v>264</v>
      </c>
      <c r="F27" s="134"/>
      <c r="G27" s="135"/>
      <c r="H27" s="88"/>
      <c r="I27" s="92" t="s">
        <v>265</v>
      </c>
      <c r="J27" s="93"/>
      <c r="K27" s="93"/>
      <c r="L27" s="93"/>
      <c r="M27" s="93"/>
      <c r="N27" s="89"/>
    </row>
    <row r="28" spans="1:14" s="77" customFormat="1" ht="19.5" thickBot="1" x14ac:dyDescent="0.25">
      <c r="A28" s="76"/>
      <c r="B28" s="78"/>
      <c r="C28" s="76"/>
      <c r="D28" s="76"/>
      <c r="E28" s="133"/>
      <c r="F28" s="134"/>
      <c r="G28" s="135"/>
      <c r="H28" s="88"/>
      <c r="I28" s="90"/>
      <c r="J28" s="76"/>
      <c r="K28" s="149" t="s">
        <v>266</v>
      </c>
      <c r="L28" s="150"/>
      <c r="M28" s="151"/>
      <c r="N28" s="79"/>
    </row>
    <row r="29" spans="1:14" s="77" customFormat="1" ht="19.5" thickBot="1" x14ac:dyDescent="0.25">
      <c r="A29" s="80"/>
      <c r="B29" s="86"/>
      <c r="C29" s="90"/>
      <c r="D29" s="80"/>
      <c r="E29" s="133" t="s">
        <v>267</v>
      </c>
      <c r="F29" s="134"/>
      <c r="G29" s="135"/>
      <c r="H29" s="88"/>
      <c r="I29" s="80"/>
      <c r="J29" s="80"/>
      <c r="K29" s="136"/>
      <c r="L29" s="137"/>
      <c r="M29" s="138"/>
      <c r="N29" s="89"/>
    </row>
    <row r="30" spans="1:14" s="77" customFormat="1" ht="16.5" thickBot="1" x14ac:dyDescent="0.25">
      <c r="A30" s="76"/>
      <c r="B30" s="78"/>
      <c r="C30" s="76"/>
      <c r="D30" s="76"/>
      <c r="E30" s="142"/>
      <c r="F30" s="143"/>
      <c r="G30" s="144"/>
      <c r="H30" s="88"/>
      <c r="I30" s="94"/>
      <c r="J30" s="76"/>
      <c r="K30" s="136" t="s">
        <v>268</v>
      </c>
      <c r="L30" s="137"/>
      <c r="M30" s="138"/>
      <c r="N30" s="79"/>
    </row>
    <row r="31" spans="1:14" s="77" customFormat="1" ht="19.5" thickBot="1" x14ac:dyDescent="0.25">
      <c r="A31" s="80"/>
      <c r="B31" s="86"/>
      <c r="C31" s="90"/>
      <c r="D31" s="80"/>
      <c r="E31" s="152" t="s">
        <v>269</v>
      </c>
      <c r="F31" s="153"/>
      <c r="G31" s="154"/>
      <c r="H31" s="88"/>
      <c r="I31" s="80"/>
      <c r="J31" s="80"/>
      <c r="K31" s="136"/>
      <c r="L31" s="137"/>
      <c r="M31" s="138"/>
      <c r="N31" s="89"/>
    </row>
    <row r="32" spans="1:14" s="77" customFormat="1" ht="16.5" thickBot="1" x14ac:dyDescent="0.25">
      <c r="A32" s="76"/>
      <c r="B32" s="78"/>
      <c r="C32" s="76"/>
      <c r="D32" s="76"/>
      <c r="E32" s="133"/>
      <c r="F32" s="134"/>
      <c r="G32" s="135"/>
      <c r="H32" s="88"/>
      <c r="I32" s="94"/>
      <c r="J32" s="76"/>
      <c r="K32" s="136" t="s">
        <v>270</v>
      </c>
      <c r="L32" s="137"/>
      <c r="M32" s="138"/>
      <c r="N32" s="79"/>
    </row>
    <row r="33" spans="1:14" s="77" customFormat="1" ht="19.5" thickBot="1" x14ac:dyDescent="0.25">
      <c r="A33" s="80"/>
      <c r="B33" s="86"/>
      <c r="C33" s="90"/>
      <c r="D33" s="80"/>
      <c r="E33" s="133" t="s">
        <v>271</v>
      </c>
      <c r="F33" s="134"/>
      <c r="G33" s="135"/>
      <c r="H33" s="88"/>
      <c r="I33" s="80"/>
      <c r="J33" s="80"/>
      <c r="K33" s="136"/>
      <c r="L33" s="137"/>
      <c r="M33" s="138"/>
      <c r="N33" s="89"/>
    </row>
    <row r="34" spans="1:14" s="77" customFormat="1" ht="16.5" thickBot="1" x14ac:dyDescent="0.25">
      <c r="A34" s="76"/>
      <c r="B34" s="78"/>
      <c r="C34" s="76"/>
      <c r="D34" s="76"/>
      <c r="E34" s="133"/>
      <c r="F34" s="134"/>
      <c r="G34" s="135"/>
      <c r="H34" s="88"/>
      <c r="I34" s="94"/>
      <c r="J34" s="76"/>
      <c r="K34" s="136" t="s">
        <v>272</v>
      </c>
      <c r="L34" s="137"/>
      <c r="M34" s="138"/>
      <c r="N34" s="79"/>
    </row>
    <row r="35" spans="1:14" s="77" customFormat="1" ht="19.5" thickBot="1" x14ac:dyDescent="0.25">
      <c r="A35" s="76"/>
      <c r="B35" s="78"/>
      <c r="C35" s="90"/>
      <c r="D35" s="76"/>
      <c r="E35" s="133" t="s">
        <v>273</v>
      </c>
      <c r="F35" s="134"/>
      <c r="G35" s="135"/>
      <c r="H35" s="88"/>
      <c r="I35" s="76"/>
      <c r="J35" s="76"/>
      <c r="K35" s="136"/>
      <c r="L35" s="137"/>
      <c r="M35" s="138"/>
      <c r="N35" s="79"/>
    </row>
    <row r="36" spans="1:14" s="77" customFormat="1" ht="16.5" thickBot="1" x14ac:dyDescent="0.25">
      <c r="A36" s="76"/>
      <c r="B36" s="78"/>
      <c r="C36" s="76"/>
      <c r="D36" s="76"/>
      <c r="E36" s="133"/>
      <c r="F36" s="134"/>
      <c r="G36" s="135"/>
      <c r="H36" s="88"/>
      <c r="I36" s="94"/>
      <c r="J36" s="76"/>
      <c r="K36" s="136" t="s">
        <v>274</v>
      </c>
      <c r="L36" s="137"/>
      <c r="M36" s="138"/>
      <c r="N36" s="79"/>
    </row>
    <row r="37" spans="1:14" s="77" customFormat="1" ht="16.5" thickBot="1" x14ac:dyDescent="0.25">
      <c r="A37" s="76"/>
      <c r="B37" s="78"/>
      <c r="C37" s="94"/>
      <c r="D37" s="76"/>
      <c r="E37" s="133" t="s">
        <v>275</v>
      </c>
      <c r="F37" s="134"/>
      <c r="G37" s="135"/>
      <c r="H37" s="88"/>
      <c r="I37" s="76"/>
      <c r="J37" s="76"/>
      <c r="K37" s="139"/>
      <c r="L37" s="140"/>
      <c r="M37" s="141"/>
      <c r="N37" s="79"/>
    </row>
    <row r="38" spans="1:14" s="77" customFormat="1" ht="15.75" x14ac:dyDescent="0.2">
      <c r="A38" s="76"/>
      <c r="B38" s="78"/>
      <c r="C38" s="76"/>
      <c r="D38" s="76"/>
      <c r="E38" s="142"/>
      <c r="F38" s="143"/>
      <c r="G38" s="144"/>
      <c r="H38" s="88"/>
      <c r="I38" s="76"/>
      <c r="J38" s="76"/>
      <c r="K38" s="145"/>
      <c r="L38" s="145"/>
      <c r="M38" s="145"/>
      <c r="N38" s="79"/>
    </row>
    <row r="39" spans="1:14" s="77" customFormat="1" ht="7.5" customHeight="1" thickBot="1" x14ac:dyDescent="0.25">
      <c r="A39" s="76"/>
      <c r="B39" s="82"/>
      <c r="C39" s="84"/>
      <c r="D39" s="84"/>
      <c r="E39" s="84"/>
      <c r="F39" s="66"/>
      <c r="G39" s="66"/>
      <c r="H39" s="95"/>
      <c r="I39" s="84"/>
      <c r="J39" s="84"/>
      <c r="K39" s="146"/>
      <c r="L39" s="146"/>
      <c r="M39" s="146"/>
      <c r="N39" s="85"/>
    </row>
    <row r="40" spans="1:14" s="77" customFormat="1" x14ac:dyDescent="0.2">
      <c r="A40" s="76"/>
      <c r="B40" s="96"/>
      <c r="C40" s="97"/>
      <c r="D40" s="97"/>
      <c r="E40" s="98" t="s">
        <v>303</v>
      </c>
      <c r="F40" s="99" t="s">
        <v>310</v>
      </c>
      <c r="G40" s="99" t="s">
        <v>311</v>
      </c>
      <c r="H40" s="148" t="s">
        <v>312</v>
      </c>
      <c r="I40" s="148"/>
      <c r="J40" s="97"/>
      <c r="K40" s="147" t="s">
        <v>276</v>
      </c>
      <c r="L40" s="147"/>
      <c r="M40" s="67" t="s">
        <v>277</v>
      </c>
      <c r="N40" s="100"/>
    </row>
    <row r="41" spans="1:14" s="77" customFormat="1" ht="15.75" thickBot="1" x14ac:dyDescent="0.25">
      <c r="A41" s="76"/>
      <c r="B41" s="78"/>
      <c r="C41" s="161"/>
      <c r="D41" s="161"/>
      <c r="E41" s="105" t="s">
        <v>304</v>
      </c>
      <c r="F41" s="102"/>
      <c r="G41" s="101"/>
      <c r="H41" s="161"/>
      <c r="I41" s="161"/>
      <c r="J41" s="76"/>
      <c r="K41" s="132" t="s">
        <v>278</v>
      </c>
      <c r="L41" s="132"/>
      <c r="M41" s="83"/>
      <c r="N41" s="79"/>
    </row>
    <row r="42" spans="1:14" s="77" customFormat="1" ht="15.75" thickBot="1" x14ac:dyDescent="0.25">
      <c r="A42" s="76"/>
      <c r="B42" s="78"/>
      <c r="C42" s="161"/>
      <c r="D42" s="161"/>
      <c r="E42" s="105" t="s">
        <v>305</v>
      </c>
      <c r="F42" s="102"/>
      <c r="G42" s="102"/>
      <c r="H42" s="161"/>
      <c r="I42" s="161"/>
      <c r="J42" s="76"/>
      <c r="K42" s="112" t="s">
        <v>279</v>
      </c>
      <c r="L42" s="112"/>
      <c r="M42" s="84"/>
      <c r="N42" s="79"/>
    </row>
    <row r="43" spans="1:14" s="77" customFormat="1" ht="15.75" thickBot="1" x14ac:dyDescent="0.25">
      <c r="A43" s="76"/>
      <c r="B43" s="78"/>
      <c r="C43" s="161"/>
      <c r="D43" s="161"/>
      <c r="E43" s="105" t="s">
        <v>279</v>
      </c>
      <c r="F43" s="102"/>
      <c r="G43" s="102"/>
      <c r="H43" s="161"/>
      <c r="I43" s="161"/>
      <c r="J43" s="76"/>
      <c r="K43" s="112" t="s">
        <v>280</v>
      </c>
      <c r="L43" s="112"/>
      <c r="M43" s="103"/>
      <c r="N43" s="79"/>
    </row>
    <row r="44" spans="1:14" s="77" customFormat="1" ht="15.75" thickBot="1" x14ac:dyDescent="0.25">
      <c r="A44" s="76"/>
      <c r="B44" s="78"/>
      <c r="C44" s="161"/>
      <c r="D44" s="161"/>
      <c r="E44" s="105" t="s">
        <v>306</v>
      </c>
      <c r="F44" s="102"/>
      <c r="G44" s="102"/>
      <c r="H44" s="161"/>
      <c r="I44" s="161"/>
      <c r="J44" s="76"/>
      <c r="K44" s="112" t="s">
        <v>281</v>
      </c>
      <c r="L44" s="112"/>
      <c r="M44" s="103"/>
      <c r="N44" s="79"/>
    </row>
    <row r="45" spans="1:14" s="77" customFormat="1" x14ac:dyDescent="0.2">
      <c r="A45" s="76"/>
      <c r="B45" s="78"/>
      <c r="C45" s="161"/>
      <c r="D45" s="161"/>
      <c r="E45" s="105" t="s">
        <v>307</v>
      </c>
      <c r="F45" s="102"/>
      <c r="G45" s="102"/>
      <c r="H45" s="161"/>
      <c r="I45" s="161"/>
      <c r="J45" s="76"/>
      <c r="K45" s="131"/>
      <c r="L45" s="131"/>
      <c r="M45" s="91"/>
      <c r="N45" s="79"/>
    </row>
    <row r="46" spans="1:14" s="77" customFormat="1" ht="16.5" thickBot="1" x14ac:dyDescent="0.25">
      <c r="A46" s="76"/>
      <c r="B46" s="78"/>
      <c r="C46" s="161"/>
      <c r="D46" s="161"/>
      <c r="E46" s="105" t="s">
        <v>281</v>
      </c>
      <c r="F46" s="102"/>
      <c r="G46" s="102"/>
      <c r="H46" s="161"/>
      <c r="I46" s="161"/>
      <c r="J46" s="76"/>
      <c r="K46" s="137" t="s">
        <v>308</v>
      </c>
      <c r="L46" s="137"/>
      <c r="M46" s="104"/>
      <c r="N46" s="79"/>
    </row>
    <row r="47" spans="1:14" s="77" customFormat="1" x14ac:dyDescent="0.2">
      <c r="A47" s="76"/>
      <c r="B47" s="78"/>
      <c r="C47" s="161"/>
      <c r="D47" s="161"/>
      <c r="E47" s="105" t="s">
        <v>309</v>
      </c>
      <c r="F47" s="102"/>
      <c r="G47" s="102"/>
      <c r="H47" s="161"/>
      <c r="I47" s="161"/>
      <c r="J47" s="76"/>
      <c r="K47" s="76"/>
      <c r="L47" s="76"/>
      <c r="M47" s="76"/>
      <c r="N47" s="79"/>
    </row>
    <row r="48" spans="1:14" s="77" customFormat="1" ht="9.9499999999999993" customHeight="1" thickBot="1" x14ac:dyDescent="0.25">
      <c r="A48" s="76"/>
      <c r="B48" s="82"/>
      <c r="C48" s="130"/>
      <c r="D48" s="130"/>
      <c r="E48" s="111"/>
      <c r="F48" s="84"/>
      <c r="G48" s="84"/>
      <c r="H48" s="130"/>
      <c r="I48" s="130"/>
      <c r="J48" s="84"/>
      <c r="K48" s="84"/>
      <c r="L48" s="84"/>
      <c r="M48" s="84"/>
      <c r="N48" s="85"/>
    </row>
    <row r="49" spans="1:14" s="77" customFormat="1" ht="15.75" thickBot="1" x14ac:dyDescent="0.25">
      <c r="A49" s="76"/>
      <c r="B49" s="76"/>
      <c r="C49" s="76"/>
      <c r="D49" s="76"/>
      <c r="E49" s="84" t="s">
        <v>315</v>
      </c>
      <c r="F49" s="76"/>
      <c r="G49" s="76"/>
      <c r="H49" s="76"/>
      <c r="I49" s="76"/>
      <c r="J49" s="76"/>
      <c r="K49" s="76"/>
      <c r="L49" s="76"/>
      <c r="M49" s="76"/>
      <c r="N49" s="76"/>
    </row>
  </sheetData>
  <mergeCells count="61">
    <mergeCell ref="C46:D46"/>
    <mergeCell ref="H46:I46"/>
    <mergeCell ref="K46:L46"/>
    <mergeCell ref="C47:D47"/>
    <mergeCell ref="H47:I47"/>
    <mergeCell ref="C43:D43"/>
    <mergeCell ref="H43:I43"/>
    <mergeCell ref="C44:D44"/>
    <mergeCell ref="H44:I44"/>
    <mergeCell ref="C45:D45"/>
    <mergeCell ref="H45:I45"/>
    <mergeCell ref="B2:N2"/>
    <mergeCell ref="C41:D41"/>
    <mergeCell ref="H41:I41"/>
    <mergeCell ref="C42:D42"/>
    <mergeCell ref="H42:I42"/>
    <mergeCell ref="I5:L5"/>
    <mergeCell ref="C6:E6"/>
    <mergeCell ref="F6:G6"/>
    <mergeCell ref="I6:L6"/>
    <mergeCell ref="E9:G10"/>
    <mergeCell ref="K9:M10"/>
    <mergeCell ref="E11:G12"/>
    <mergeCell ref="K11:M12"/>
    <mergeCell ref="E13:G14"/>
    <mergeCell ref="C3:M3"/>
    <mergeCell ref="K13:M14"/>
    <mergeCell ref="E15:G16"/>
    <mergeCell ref="K15:M16"/>
    <mergeCell ref="E17:G18"/>
    <mergeCell ref="K17:M18"/>
    <mergeCell ref="E19:G20"/>
    <mergeCell ref="K19:M20"/>
    <mergeCell ref="E27:G28"/>
    <mergeCell ref="K28:M29"/>
    <mergeCell ref="E21:G22"/>
    <mergeCell ref="K21:M22"/>
    <mergeCell ref="E23:G24"/>
    <mergeCell ref="K23:M24"/>
    <mergeCell ref="E29:G30"/>
    <mergeCell ref="K30:M31"/>
    <mergeCell ref="E31:G32"/>
    <mergeCell ref="K32:M33"/>
    <mergeCell ref="E33:G34"/>
    <mergeCell ref="K34:M35"/>
    <mergeCell ref="F4:M4"/>
    <mergeCell ref="C5:E5"/>
    <mergeCell ref="F5:G5"/>
    <mergeCell ref="C48:D48"/>
    <mergeCell ref="H48:I48"/>
    <mergeCell ref="C4:E4"/>
    <mergeCell ref="K45:L45"/>
    <mergeCell ref="K41:L41"/>
    <mergeCell ref="E35:G36"/>
    <mergeCell ref="K36:M37"/>
    <mergeCell ref="E37:G38"/>
    <mergeCell ref="K38:M39"/>
    <mergeCell ref="K40:L40"/>
    <mergeCell ref="H40:I40"/>
    <mergeCell ref="E25:G26"/>
    <mergeCell ref="K25:M26"/>
  </mergeCells>
  <pageMargins left="0.25" right="0.25" top="0.25" bottom="0.25" header="0.3" footer="0.3"/>
  <pageSetup scale="9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E319D-EA33-4CF2-9938-DF260EDC71C3}">
  <dimension ref="A2:M48"/>
  <sheetViews>
    <sheetView workbookViewId="0">
      <selection activeCell="I53" sqref="I53"/>
    </sheetView>
  </sheetViews>
  <sheetFormatPr defaultRowHeight="12.75" outlineLevelRow="2" x14ac:dyDescent="0.2"/>
  <cols>
    <col min="2" max="2" width="13.5703125" customWidth="1"/>
    <col min="5" max="5" width="48.5703125" customWidth="1"/>
    <col min="6" max="6" width="7.28515625" customWidth="1"/>
    <col min="7" max="7" width="4.42578125" customWidth="1"/>
    <col min="8" max="8" width="11.85546875" customWidth="1"/>
    <col min="11" max="11" width="11.140625" bestFit="1" customWidth="1"/>
    <col min="12" max="12" width="13.5703125" bestFit="1" customWidth="1"/>
  </cols>
  <sheetData>
    <row r="2" spans="1:13" x14ac:dyDescent="0.2">
      <c r="B2" s="165"/>
      <c r="C2" s="165"/>
      <c r="D2" s="165"/>
      <c r="E2" s="165"/>
      <c r="F2" s="165"/>
      <c r="G2" s="165"/>
      <c r="H2" s="165"/>
      <c r="I2" s="165"/>
      <c r="J2" s="165"/>
      <c r="K2" s="165"/>
    </row>
    <row r="3" spans="1:13" x14ac:dyDescent="0.2">
      <c r="A3" s="118"/>
      <c r="B3" s="118" t="s">
        <v>113</v>
      </c>
      <c r="C3" s="118"/>
      <c r="D3" s="118"/>
      <c r="E3" s="118"/>
      <c r="F3" s="118"/>
      <c r="G3" s="118"/>
      <c r="H3" s="118"/>
      <c r="I3" s="118"/>
    </row>
    <row r="4" spans="1:13" ht="18" x14ac:dyDescent="0.25">
      <c r="A4" s="118"/>
      <c r="B4" s="4" t="s">
        <v>0</v>
      </c>
      <c r="C4" s="55" t="str">
        <f>'Project Info'!C4</f>
        <v>Standard Product</v>
      </c>
      <c r="D4" s="14"/>
      <c r="E4" s="14"/>
      <c r="F4" s="14"/>
      <c r="G4" s="14"/>
      <c r="H4" s="15"/>
      <c r="I4" s="118"/>
      <c r="J4" t="s">
        <v>114</v>
      </c>
    </row>
    <row r="5" spans="1:13" ht="18.75" thickBot="1" x14ac:dyDescent="0.3">
      <c r="A5" s="118"/>
      <c r="B5" s="4" t="s">
        <v>58</v>
      </c>
      <c r="C5" s="55" t="str">
        <f>'Project Info'!C5</f>
        <v>Mujeeb</v>
      </c>
      <c r="D5" s="14"/>
      <c r="E5" s="14"/>
      <c r="F5" s="14"/>
      <c r="G5" s="14"/>
      <c r="H5" s="15"/>
      <c r="I5" s="118"/>
      <c r="J5" t="s">
        <v>176</v>
      </c>
    </row>
    <row r="6" spans="1:13" ht="15" x14ac:dyDescent="0.25">
      <c r="A6" s="118"/>
      <c r="B6" s="4" t="s">
        <v>1</v>
      </c>
      <c r="C6" s="11" t="str">
        <f>'Project Info'!C6</f>
        <v/>
      </c>
      <c r="D6" s="14"/>
      <c r="E6" s="15"/>
      <c r="F6" s="4" t="s">
        <v>11</v>
      </c>
      <c r="G6" s="11" t="str">
        <f>'Project Info'!G6</f>
        <v/>
      </c>
      <c r="H6" s="15"/>
      <c r="I6" s="118"/>
      <c r="J6" s="166" t="s">
        <v>115</v>
      </c>
      <c r="K6" s="167"/>
      <c r="L6" s="168"/>
      <c r="M6" s="23">
        <v>1</v>
      </c>
    </row>
    <row r="7" spans="1:13" ht="15" x14ac:dyDescent="0.25">
      <c r="A7" s="118"/>
      <c r="B7" s="4" t="s">
        <v>2</v>
      </c>
      <c r="C7" s="22" t="str">
        <f>'Project Info'!C7</f>
        <v>ABD</v>
      </c>
      <c r="D7" s="14"/>
      <c r="E7" s="15"/>
      <c r="F7" s="4" t="s">
        <v>3</v>
      </c>
      <c r="G7" s="11" t="str">
        <f>'Project Info'!G7</f>
        <v>2025-04-04</v>
      </c>
      <c r="H7" s="15"/>
      <c r="I7" s="118"/>
      <c r="J7" s="169" t="s">
        <v>116</v>
      </c>
      <c r="K7" s="170"/>
      <c r="L7" s="171"/>
      <c r="M7" s="24">
        <v>2</v>
      </c>
    </row>
    <row r="8" spans="1:13" ht="13.5" hidden="1" customHeight="1" thickBot="1" x14ac:dyDescent="0.3">
      <c r="A8" s="118"/>
      <c r="B8" s="1"/>
      <c r="G8" s="11"/>
      <c r="I8" s="118"/>
      <c r="J8" s="51"/>
      <c r="K8" s="29"/>
      <c r="L8" s="52"/>
      <c r="M8" s="24"/>
    </row>
    <row r="9" spans="1:13" ht="13.5" hidden="1" customHeight="1" thickBot="1" x14ac:dyDescent="0.3">
      <c r="A9" s="118"/>
      <c r="B9" s="4" t="s">
        <v>4</v>
      </c>
      <c r="C9" t="s">
        <v>112</v>
      </c>
      <c r="G9" s="11"/>
      <c r="I9" s="118"/>
      <c r="J9" s="51"/>
      <c r="K9" s="29"/>
      <c r="L9" s="52"/>
      <c r="M9" s="24"/>
    </row>
    <row r="10" spans="1:13" ht="15" x14ac:dyDescent="0.25">
      <c r="A10" s="118"/>
      <c r="B10" s="4" t="s">
        <v>5</v>
      </c>
      <c r="C10" s="5" t="s">
        <v>175</v>
      </c>
      <c r="D10" s="15"/>
      <c r="E10" s="119" t="s">
        <v>6</v>
      </c>
      <c r="F10" s="120"/>
      <c r="G10" s="56" t="str">
        <f>'Project Info'!G10</f>
        <v/>
      </c>
      <c r="H10" s="15"/>
      <c r="I10" s="118"/>
      <c r="J10" s="172" t="s">
        <v>177</v>
      </c>
      <c r="K10" s="173"/>
      <c r="L10" s="174"/>
      <c r="M10" s="53">
        <v>14</v>
      </c>
    </row>
    <row r="11" spans="1:13" ht="15.75" thickBot="1" x14ac:dyDescent="0.3">
      <c r="A11" s="118"/>
      <c r="B11" s="175" t="s">
        <v>174</v>
      </c>
      <c r="C11" s="176"/>
      <c r="D11" s="176"/>
      <c r="E11" s="176"/>
      <c r="F11" s="176"/>
      <c r="G11" s="176"/>
      <c r="H11" s="177"/>
      <c r="I11" s="118"/>
      <c r="J11" s="181" t="s">
        <v>236</v>
      </c>
      <c r="K11" s="182"/>
      <c r="L11" s="183"/>
      <c r="M11" s="54">
        <v>2</v>
      </c>
    </row>
    <row r="12" spans="1:13" x14ac:dyDescent="0.2">
      <c r="A12" s="118"/>
      <c r="B12" s="178"/>
      <c r="C12" s="179"/>
      <c r="D12" s="179"/>
      <c r="E12" s="179"/>
      <c r="F12" s="179"/>
      <c r="G12" s="179"/>
      <c r="H12" s="180"/>
      <c r="I12" s="118"/>
    </row>
    <row r="13" spans="1:13" x14ac:dyDescent="0.2">
      <c r="B13" s="11"/>
      <c r="C13" s="117" t="s">
        <v>109</v>
      </c>
      <c r="D13" s="117"/>
      <c r="E13" s="11"/>
      <c r="F13" s="11"/>
      <c r="G13" s="11"/>
      <c r="H13" s="11"/>
      <c r="I13" s="21" t="s">
        <v>117</v>
      </c>
      <c r="J13" s="21" t="s">
        <v>117</v>
      </c>
      <c r="K13" s="21" t="s">
        <v>118</v>
      </c>
      <c r="L13" s="57" t="s">
        <v>237</v>
      </c>
    </row>
    <row r="14" spans="1:13" ht="15" x14ac:dyDescent="0.3">
      <c r="B14" s="7" t="s">
        <v>7</v>
      </c>
      <c r="C14" s="12" t="s">
        <v>60</v>
      </c>
      <c r="D14" s="7" t="s">
        <v>59</v>
      </c>
      <c r="E14" s="7" t="s">
        <v>8</v>
      </c>
      <c r="F14" s="60" t="s">
        <v>9</v>
      </c>
      <c r="G14" s="13" t="s">
        <v>12</v>
      </c>
      <c r="H14" s="7" t="s">
        <v>10</v>
      </c>
      <c r="I14" s="7" t="s">
        <v>110</v>
      </c>
      <c r="J14" s="7" t="s">
        <v>111</v>
      </c>
      <c r="K14" s="7" t="s">
        <v>110</v>
      </c>
      <c r="L14" s="11"/>
    </row>
    <row r="15" spans="1:13" ht="15" outlineLevel="2" x14ac:dyDescent="0.25">
      <c r="B15" s="29" t="s">
        <v>64</v>
      </c>
      <c r="C15" s="29">
        <v>2.9359999999999999</v>
      </c>
      <c r="D15" s="29">
        <v>5.6139999999999999</v>
      </c>
      <c r="E15" s="29" t="s">
        <v>119</v>
      </c>
      <c r="F15" s="29">
        <f>3*M6</f>
        <v>3</v>
      </c>
      <c r="G15" s="29"/>
      <c r="H15" s="29" t="s">
        <v>120</v>
      </c>
      <c r="I15" s="29">
        <f t="shared" ref="I15:I20" si="0">K15*F15</f>
        <v>0.86999999999999988</v>
      </c>
      <c r="J15" s="29">
        <f t="shared" ref="J15:J20" si="1">C15*D15*F15/144</f>
        <v>0.34338966666666665</v>
      </c>
      <c r="K15" s="29">
        <v>0.28999999999999998</v>
      </c>
      <c r="L15" s="29" t="s">
        <v>239</v>
      </c>
    </row>
    <row r="16" spans="1:13" ht="15" outlineLevel="2" x14ac:dyDescent="0.25">
      <c r="B16" s="29" t="s">
        <v>64</v>
      </c>
      <c r="C16" s="29">
        <v>4.3049999999999997</v>
      </c>
      <c r="D16" s="29">
        <v>1.9690000000000001</v>
      </c>
      <c r="E16" s="29" t="s">
        <v>121</v>
      </c>
      <c r="F16" s="29">
        <f>3*M6</f>
        <v>3</v>
      </c>
      <c r="G16" s="29"/>
      <c r="H16" s="29" t="s">
        <v>122</v>
      </c>
      <c r="I16" s="29">
        <f t="shared" si="0"/>
        <v>0.44999999999999996</v>
      </c>
      <c r="J16" s="29">
        <f t="shared" si="1"/>
        <v>0.17659468749999999</v>
      </c>
      <c r="K16" s="29">
        <v>0.15</v>
      </c>
      <c r="L16" s="29" t="s">
        <v>239</v>
      </c>
    </row>
    <row r="17" spans="2:12" ht="15" outlineLevel="2" x14ac:dyDescent="0.25">
      <c r="B17" s="29" t="s">
        <v>64</v>
      </c>
      <c r="C17" s="29">
        <v>1.9690000000000001</v>
      </c>
      <c r="D17" s="29">
        <v>1.462</v>
      </c>
      <c r="E17" s="29" t="s">
        <v>123</v>
      </c>
      <c r="F17" s="29">
        <f>9*M6</f>
        <v>9</v>
      </c>
      <c r="G17" s="29"/>
      <c r="H17" s="29" t="s">
        <v>124</v>
      </c>
      <c r="I17" s="29">
        <f t="shared" si="0"/>
        <v>0.45</v>
      </c>
      <c r="J17" s="29">
        <f t="shared" si="1"/>
        <v>0.17991737499999999</v>
      </c>
      <c r="K17" s="29">
        <v>0.05</v>
      </c>
      <c r="L17" s="29" t="s">
        <v>239</v>
      </c>
    </row>
    <row r="18" spans="2:12" outlineLevel="2" x14ac:dyDescent="0.2">
      <c r="B18" s="11" t="s">
        <v>64</v>
      </c>
      <c r="C18" s="11">
        <v>14.311</v>
      </c>
      <c r="D18" s="11">
        <v>8.9649999999999999</v>
      </c>
      <c r="E18" s="11" t="s">
        <v>125</v>
      </c>
      <c r="F18" s="11">
        <f>M6*M7</f>
        <v>2</v>
      </c>
      <c r="G18" s="11"/>
      <c r="H18" s="11" t="s">
        <v>126</v>
      </c>
      <c r="I18" s="11">
        <f t="shared" si="0"/>
        <v>4.46</v>
      </c>
      <c r="J18" s="11">
        <f t="shared" si="1"/>
        <v>1.7819182638888889</v>
      </c>
      <c r="K18" s="11">
        <v>2.23</v>
      </c>
      <c r="L18" s="11" t="s">
        <v>238</v>
      </c>
    </row>
    <row r="19" spans="2:12" outlineLevel="2" x14ac:dyDescent="0.2">
      <c r="B19" s="11" t="s">
        <v>64</v>
      </c>
      <c r="C19" s="11">
        <v>14.311</v>
      </c>
      <c r="D19" s="11">
        <v>8.9649999999999999</v>
      </c>
      <c r="E19" s="11" t="s">
        <v>127</v>
      </c>
      <c r="F19" s="11">
        <f>M6*M7</f>
        <v>2</v>
      </c>
      <c r="G19" s="11"/>
      <c r="H19" s="11" t="s">
        <v>128</v>
      </c>
      <c r="I19" s="11">
        <f t="shared" si="0"/>
        <v>4.46</v>
      </c>
      <c r="J19" s="11">
        <f t="shared" si="1"/>
        <v>1.7819182638888889</v>
      </c>
      <c r="K19" s="11">
        <v>2.23</v>
      </c>
      <c r="L19" s="11" t="s">
        <v>238</v>
      </c>
    </row>
    <row r="20" spans="2:12" outlineLevel="2" x14ac:dyDescent="0.2">
      <c r="B20" s="11" t="s">
        <v>64</v>
      </c>
      <c r="C20" s="11">
        <v>1.496</v>
      </c>
      <c r="D20" s="11">
        <v>5.0730000000000004</v>
      </c>
      <c r="E20" s="11" t="s">
        <v>129</v>
      </c>
      <c r="F20" s="11">
        <f>M6*2*M7</f>
        <v>4</v>
      </c>
      <c r="G20" s="11"/>
      <c r="H20" s="11" t="s">
        <v>130</v>
      </c>
      <c r="I20" s="11">
        <f t="shared" si="0"/>
        <v>0.52</v>
      </c>
      <c r="J20" s="11">
        <f t="shared" si="1"/>
        <v>0.21081133333333335</v>
      </c>
      <c r="K20" s="11">
        <v>0.13</v>
      </c>
      <c r="L20" s="11" t="s">
        <v>238</v>
      </c>
    </row>
    <row r="21" spans="2:12" outlineLevel="1" x14ac:dyDescent="0.2">
      <c r="B21" s="11"/>
      <c r="C21" s="11"/>
      <c r="D21" s="11"/>
      <c r="E21" s="11"/>
      <c r="F21" s="11"/>
      <c r="G21" s="11"/>
      <c r="H21" s="11"/>
      <c r="I21" s="11"/>
      <c r="J21" s="11"/>
      <c r="K21" s="11"/>
    </row>
    <row r="22" spans="2:12" outlineLevel="2" x14ac:dyDescent="0.2">
      <c r="B22" s="11" t="s">
        <v>62</v>
      </c>
      <c r="C22" s="11">
        <v>6.2240000000000002</v>
      </c>
      <c r="D22" s="11">
        <v>9.1470000000000002</v>
      </c>
      <c r="E22" s="11" t="s">
        <v>131</v>
      </c>
      <c r="F22" s="11">
        <f>M6*M7</f>
        <v>2</v>
      </c>
      <c r="G22" s="11"/>
      <c r="H22" s="11" t="s">
        <v>132</v>
      </c>
      <c r="I22" s="11">
        <f t="shared" ref="I22:I43" si="2">K22*F22</f>
        <v>1.6</v>
      </c>
      <c r="J22" s="11">
        <f t="shared" ref="J22:J43" si="3">C22*D22*F22/144</f>
        <v>0.79070733333333332</v>
      </c>
      <c r="K22" s="11">
        <v>0.8</v>
      </c>
      <c r="L22" s="11" t="s">
        <v>238</v>
      </c>
    </row>
    <row r="23" spans="2:12" ht="15" outlineLevel="2" x14ac:dyDescent="0.25">
      <c r="B23" s="29" t="s">
        <v>62</v>
      </c>
      <c r="C23" s="29">
        <v>3.1070000000000002</v>
      </c>
      <c r="D23" s="29">
        <v>3.875</v>
      </c>
      <c r="E23" s="29" t="s">
        <v>133</v>
      </c>
      <c r="F23" s="29">
        <f>M6</f>
        <v>1</v>
      </c>
      <c r="G23" s="29"/>
      <c r="H23" s="29" t="s">
        <v>134</v>
      </c>
      <c r="I23" s="29">
        <f t="shared" si="2"/>
        <v>0.17</v>
      </c>
      <c r="J23" s="29">
        <f t="shared" si="3"/>
        <v>8.3608506944444452E-2</v>
      </c>
      <c r="K23" s="29">
        <v>0.17</v>
      </c>
      <c r="L23" s="29" t="s">
        <v>239</v>
      </c>
    </row>
    <row r="24" spans="2:12" ht="15" outlineLevel="2" x14ac:dyDescent="0.25">
      <c r="B24" s="29" t="s">
        <v>62</v>
      </c>
      <c r="C24" s="29">
        <v>3.1070000000000002</v>
      </c>
      <c r="D24" s="29">
        <v>3.875</v>
      </c>
      <c r="E24" s="29" t="s">
        <v>135</v>
      </c>
      <c r="F24" s="29">
        <f>M6</f>
        <v>1</v>
      </c>
      <c r="G24" s="29"/>
      <c r="H24" s="29" t="s">
        <v>136</v>
      </c>
      <c r="I24" s="29">
        <f t="shared" si="2"/>
        <v>0.17</v>
      </c>
      <c r="J24" s="29">
        <f t="shared" si="3"/>
        <v>8.3608506944444452E-2</v>
      </c>
      <c r="K24" s="29">
        <v>0.17</v>
      </c>
      <c r="L24" s="29" t="s">
        <v>239</v>
      </c>
    </row>
    <row r="25" spans="2:12" outlineLevel="2" x14ac:dyDescent="0.2">
      <c r="B25" s="11" t="s">
        <v>62</v>
      </c>
      <c r="C25" s="11">
        <v>7.0490000000000004</v>
      </c>
      <c r="D25" s="11">
        <v>7.7009999999999996</v>
      </c>
      <c r="E25" s="11" t="s">
        <v>137</v>
      </c>
      <c r="F25" s="11">
        <f>M6*IF(M7&gt;0,M7-1,0)</f>
        <v>1</v>
      </c>
      <c r="G25" s="11"/>
      <c r="H25" s="11" t="s">
        <v>138</v>
      </c>
      <c r="I25" s="11">
        <f t="shared" si="2"/>
        <v>0.76</v>
      </c>
      <c r="J25" s="11">
        <f t="shared" si="3"/>
        <v>0.37697464583333334</v>
      </c>
      <c r="K25" s="11">
        <v>0.76</v>
      </c>
      <c r="L25" s="11" t="s">
        <v>238</v>
      </c>
    </row>
    <row r="26" spans="2:12" outlineLevel="2" x14ac:dyDescent="0.2">
      <c r="B26" s="11" t="s">
        <v>62</v>
      </c>
      <c r="C26" s="11">
        <v>1.0920000000000001</v>
      </c>
      <c r="D26" s="11">
        <v>6.9370000000000003</v>
      </c>
      <c r="E26" s="11" t="s">
        <v>139</v>
      </c>
      <c r="F26" s="11">
        <f>M6*2*M7</f>
        <v>4</v>
      </c>
      <c r="G26" s="11"/>
      <c r="H26" s="11" t="s">
        <v>140</v>
      </c>
      <c r="I26" s="11">
        <f t="shared" si="2"/>
        <v>0.44</v>
      </c>
      <c r="J26" s="11">
        <f t="shared" si="3"/>
        <v>0.21042233333333338</v>
      </c>
      <c r="K26" s="58">
        <v>0.11</v>
      </c>
      <c r="L26" s="11" t="s">
        <v>238</v>
      </c>
    </row>
    <row r="27" spans="2:12" ht="15" outlineLevel="2" x14ac:dyDescent="0.25">
      <c r="B27" s="29" t="s">
        <v>62</v>
      </c>
      <c r="C27" s="29">
        <v>6.0339999999999998</v>
      </c>
      <c r="D27" s="29">
        <v>13.853</v>
      </c>
      <c r="E27" s="29" t="s">
        <v>141</v>
      </c>
      <c r="F27" s="29">
        <f>M6*(M11-1)</f>
        <v>1</v>
      </c>
      <c r="G27" s="29"/>
      <c r="H27" s="29" t="s">
        <v>142</v>
      </c>
      <c r="I27" s="29">
        <f t="shared" si="2"/>
        <v>1.17</v>
      </c>
      <c r="J27" s="29">
        <f t="shared" si="3"/>
        <v>0.58047918055555547</v>
      </c>
      <c r="K27" s="29">
        <v>1.17</v>
      </c>
      <c r="L27" s="29" t="s">
        <v>239</v>
      </c>
    </row>
    <row r="28" spans="2:12" outlineLevel="2" x14ac:dyDescent="0.2">
      <c r="B28" s="11" t="s">
        <v>62</v>
      </c>
      <c r="C28" s="11">
        <v>2.2679999999999998</v>
      </c>
      <c r="D28" s="11">
        <v>3.0470000000000002</v>
      </c>
      <c r="E28" s="11" t="s">
        <v>143</v>
      </c>
      <c r="F28" s="11">
        <f>2*M6*IF(M7&gt;0,1,0)</f>
        <v>2</v>
      </c>
      <c r="G28" s="11"/>
      <c r="H28" s="11" t="s">
        <v>144</v>
      </c>
      <c r="I28" s="11">
        <f t="shared" si="2"/>
        <v>0.2</v>
      </c>
      <c r="J28" s="11">
        <f t="shared" si="3"/>
        <v>9.5980499999999996E-2</v>
      </c>
      <c r="K28" s="59">
        <v>0.1</v>
      </c>
      <c r="L28" s="11" t="s">
        <v>238</v>
      </c>
    </row>
    <row r="29" spans="2:12" outlineLevel="2" x14ac:dyDescent="0.2">
      <c r="B29" s="11" t="s">
        <v>62</v>
      </c>
      <c r="C29" s="11">
        <v>10.721</v>
      </c>
      <c r="D29" s="11">
        <v>15.427</v>
      </c>
      <c r="E29" s="11" t="s">
        <v>145</v>
      </c>
      <c r="F29" s="11">
        <f>M6*IF(M7&gt;0,1,0)</f>
        <v>1</v>
      </c>
      <c r="G29" s="11"/>
      <c r="H29" s="11" t="s">
        <v>146</v>
      </c>
      <c r="I29" s="11">
        <f t="shared" si="2"/>
        <v>2.3199999999999998</v>
      </c>
      <c r="J29" s="11">
        <f t="shared" si="3"/>
        <v>1.1485615763888888</v>
      </c>
      <c r="K29" s="11">
        <v>2.3199999999999998</v>
      </c>
      <c r="L29" s="11" t="s">
        <v>238</v>
      </c>
    </row>
    <row r="30" spans="2:12" outlineLevel="2" x14ac:dyDescent="0.2">
      <c r="B30" s="11" t="s">
        <v>62</v>
      </c>
      <c r="C30" s="11">
        <v>10.721</v>
      </c>
      <c r="D30" s="11">
        <v>15.427</v>
      </c>
      <c r="E30" s="11" t="s">
        <v>147</v>
      </c>
      <c r="F30" s="11">
        <f>M6*IF(M7&gt;0,1,0)</f>
        <v>1</v>
      </c>
      <c r="G30" s="11"/>
      <c r="H30" s="11" t="s">
        <v>148</v>
      </c>
      <c r="I30" s="11">
        <f t="shared" si="2"/>
        <v>2.3199999999999998</v>
      </c>
      <c r="J30" s="11">
        <f t="shared" si="3"/>
        <v>1.1485615763888888</v>
      </c>
      <c r="K30" s="11">
        <v>2.3199999999999998</v>
      </c>
      <c r="L30" s="11" t="s">
        <v>238</v>
      </c>
    </row>
    <row r="31" spans="2:12" outlineLevel="2" x14ac:dyDescent="0.2">
      <c r="B31" s="11" t="s">
        <v>62</v>
      </c>
      <c r="C31" s="11">
        <v>4.4020000000000001</v>
      </c>
      <c r="D31" s="11">
        <v>8.9309999999999992</v>
      </c>
      <c r="E31" s="11" t="s">
        <v>149</v>
      </c>
      <c r="F31" s="11">
        <f>M6*IF(M7&gt;0,1,0)</f>
        <v>1</v>
      </c>
      <c r="G31" s="11"/>
      <c r="H31" s="11" t="s">
        <v>150</v>
      </c>
      <c r="I31" s="11">
        <f t="shared" si="2"/>
        <v>0.55000000000000004</v>
      </c>
      <c r="J31" s="11">
        <f t="shared" si="3"/>
        <v>0.27301570833333333</v>
      </c>
      <c r="K31" s="11">
        <v>0.55000000000000004</v>
      </c>
      <c r="L31" s="11" t="s">
        <v>238</v>
      </c>
    </row>
    <row r="32" spans="2:12" outlineLevel="2" x14ac:dyDescent="0.2">
      <c r="B32" s="11" t="s">
        <v>62</v>
      </c>
      <c r="C32" s="11">
        <v>4.4020000000000001</v>
      </c>
      <c r="D32" s="11">
        <v>8.9309999999999992</v>
      </c>
      <c r="E32" s="11" t="s">
        <v>151</v>
      </c>
      <c r="F32" s="11">
        <f>M6*IF(M7&gt;0,1,0)</f>
        <v>1</v>
      </c>
      <c r="G32" s="11"/>
      <c r="H32" s="11" t="s">
        <v>152</v>
      </c>
      <c r="I32" s="11">
        <f t="shared" si="2"/>
        <v>0.55000000000000004</v>
      </c>
      <c r="J32" s="11">
        <f t="shared" si="3"/>
        <v>0.27301570833333333</v>
      </c>
      <c r="K32" s="11">
        <v>0.55000000000000004</v>
      </c>
      <c r="L32" s="11" t="s">
        <v>238</v>
      </c>
    </row>
    <row r="33" spans="2:12" outlineLevel="2" x14ac:dyDescent="0.2">
      <c r="B33" s="58" t="s">
        <v>62</v>
      </c>
      <c r="C33" s="58">
        <v>3.3069999999999999</v>
      </c>
      <c r="D33" s="58">
        <v>6.9530000000000003</v>
      </c>
      <c r="E33" s="58" t="s">
        <v>153</v>
      </c>
      <c r="F33" s="58">
        <f>2*M6*IF(M7&gt;0,1,0)</f>
        <v>2</v>
      </c>
      <c r="G33" s="58"/>
      <c r="H33" s="58" t="s">
        <v>154</v>
      </c>
      <c r="I33" s="58">
        <f t="shared" si="2"/>
        <v>0.64</v>
      </c>
      <c r="J33" s="58">
        <f t="shared" si="3"/>
        <v>0.31935515277777776</v>
      </c>
      <c r="K33" s="58">
        <v>0.32</v>
      </c>
      <c r="L33" s="11" t="s">
        <v>238</v>
      </c>
    </row>
    <row r="34" spans="2:12" ht="15" outlineLevel="2" x14ac:dyDescent="0.25">
      <c r="B34" s="29" t="s">
        <v>62</v>
      </c>
      <c r="C34" s="29">
        <v>8.2279999999999998</v>
      </c>
      <c r="D34" s="29">
        <v>12.135999999999999</v>
      </c>
      <c r="E34" s="29" t="s">
        <v>155</v>
      </c>
      <c r="F34" s="29">
        <f>M6*(M11-1)</f>
        <v>1</v>
      </c>
      <c r="G34" s="29"/>
      <c r="H34" s="29" t="s">
        <v>156</v>
      </c>
      <c r="I34" s="29">
        <f t="shared" si="2"/>
        <v>1.4</v>
      </c>
      <c r="J34" s="29">
        <f t="shared" si="3"/>
        <v>0.69343755555555542</v>
      </c>
      <c r="K34" s="29">
        <v>1.4</v>
      </c>
      <c r="L34" s="29" t="s">
        <v>239</v>
      </c>
    </row>
    <row r="35" spans="2:12" ht="15" outlineLevel="2" x14ac:dyDescent="0.25">
      <c r="B35" s="29" t="s">
        <v>62</v>
      </c>
      <c r="C35" s="29">
        <v>5.1100000000000003</v>
      </c>
      <c r="D35" s="29">
        <v>8.9309999999999992</v>
      </c>
      <c r="E35" s="29" t="s">
        <v>157</v>
      </c>
      <c r="F35" s="29">
        <f>M6*(M11-1)</f>
        <v>1</v>
      </c>
      <c r="G35" s="29"/>
      <c r="H35" s="29" t="s">
        <v>158</v>
      </c>
      <c r="I35" s="29">
        <f t="shared" si="2"/>
        <v>0.64</v>
      </c>
      <c r="J35" s="29">
        <f t="shared" si="3"/>
        <v>0.31692645833333333</v>
      </c>
      <c r="K35" s="29">
        <v>0.64</v>
      </c>
      <c r="L35" s="29" t="s">
        <v>239</v>
      </c>
    </row>
    <row r="36" spans="2:12" ht="15" outlineLevel="2" x14ac:dyDescent="0.25">
      <c r="B36" s="29" t="s">
        <v>62</v>
      </c>
      <c r="C36" s="29">
        <v>1.756</v>
      </c>
      <c r="D36" s="29">
        <v>5.8360000000000003</v>
      </c>
      <c r="E36" s="29" t="s">
        <v>159</v>
      </c>
      <c r="F36" s="29">
        <f>M6*(M11-1)</f>
        <v>1</v>
      </c>
      <c r="G36" s="29"/>
      <c r="H36" s="29" t="s">
        <v>160</v>
      </c>
      <c r="I36" s="29">
        <f t="shared" si="2"/>
        <v>0.14000000000000001</v>
      </c>
      <c r="J36" s="29">
        <f t="shared" si="3"/>
        <v>7.1166777777777773E-2</v>
      </c>
      <c r="K36" s="29">
        <v>0.14000000000000001</v>
      </c>
      <c r="L36" s="29" t="s">
        <v>239</v>
      </c>
    </row>
    <row r="37" spans="2:12" outlineLevel="2" x14ac:dyDescent="0.2">
      <c r="B37" s="59" t="s">
        <v>62</v>
      </c>
      <c r="C37" s="59">
        <v>3.4020000000000001</v>
      </c>
      <c r="D37" s="59">
        <v>5.8360000000000003</v>
      </c>
      <c r="E37" s="59" t="s">
        <v>161</v>
      </c>
      <c r="F37" s="59">
        <f>2*M6*IF(M7&gt;0,1,0)</f>
        <v>2</v>
      </c>
      <c r="G37" s="59"/>
      <c r="H37" s="59" t="s">
        <v>162</v>
      </c>
      <c r="I37" s="59">
        <f t="shared" si="2"/>
        <v>0.56000000000000005</v>
      </c>
      <c r="J37" s="59">
        <f t="shared" si="3"/>
        <v>0.27575100000000002</v>
      </c>
      <c r="K37" s="59">
        <v>0.28000000000000003</v>
      </c>
      <c r="L37" s="11" t="s">
        <v>238</v>
      </c>
    </row>
    <row r="38" spans="2:12" outlineLevel="2" x14ac:dyDescent="0.2">
      <c r="B38" s="11" t="s">
        <v>62</v>
      </c>
      <c r="C38" s="11">
        <v>1.9690000000000001</v>
      </c>
      <c r="D38" s="11">
        <v>3.1440000000000001</v>
      </c>
      <c r="E38" s="11" t="s">
        <v>163</v>
      </c>
      <c r="F38" s="11">
        <f>2*M6*IF(M7&gt;0,1,0)</f>
        <v>2</v>
      </c>
      <c r="G38" s="11"/>
      <c r="H38" s="11" t="s">
        <v>164</v>
      </c>
      <c r="I38" s="11">
        <f t="shared" si="2"/>
        <v>0.18</v>
      </c>
      <c r="J38" s="11">
        <f t="shared" si="3"/>
        <v>8.5979666666666676E-2</v>
      </c>
      <c r="K38" s="11">
        <v>0.09</v>
      </c>
      <c r="L38" s="11" t="s">
        <v>238</v>
      </c>
    </row>
    <row r="39" spans="2:12" outlineLevel="2" x14ac:dyDescent="0.2">
      <c r="B39" s="11" t="s">
        <v>62</v>
      </c>
      <c r="C39" s="11">
        <v>1.9690000000000001</v>
      </c>
      <c r="D39" s="11">
        <v>2.306</v>
      </c>
      <c r="E39" s="11" t="s">
        <v>163</v>
      </c>
      <c r="F39" s="11">
        <f>M6*(M7+M10)*IF(M7&gt;0,1,0)</f>
        <v>16</v>
      </c>
      <c r="G39" s="11"/>
      <c r="H39" s="11" t="s">
        <v>165</v>
      </c>
      <c r="I39" s="11">
        <f t="shared" si="2"/>
        <v>0.96</v>
      </c>
      <c r="J39" s="11">
        <f t="shared" si="3"/>
        <v>0.50450155555555554</v>
      </c>
      <c r="K39" s="11">
        <v>0.06</v>
      </c>
      <c r="L39" s="11" t="s">
        <v>238</v>
      </c>
    </row>
    <row r="40" spans="2:12" outlineLevel="2" x14ac:dyDescent="0.2">
      <c r="B40" s="11" t="s">
        <v>62</v>
      </c>
      <c r="C40" s="11">
        <v>8.6460000000000008</v>
      </c>
      <c r="D40" s="11">
        <v>6.1890000000000001</v>
      </c>
      <c r="E40" s="11" t="s">
        <v>166</v>
      </c>
      <c r="F40" s="11">
        <f>M6*M7</f>
        <v>2</v>
      </c>
      <c r="G40" s="11"/>
      <c r="H40" s="11" t="s">
        <v>167</v>
      </c>
      <c r="I40" s="11">
        <f t="shared" si="2"/>
        <v>1.5</v>
      </c>
      <c r="J40" s="11">
        <f t="shared" si="3"/>
        <v>0.74319575000000004</v>
      </c>
      <c r="K40" s="11">
        <v>0.75</v>
      </c>
      <c r="L40" s="11" t="s">
        <v>238</v>
      </c>
    </row>
    <row r="41" spans="2:12" outlineLevel="2" x14ac:dyDescent="0.2">
      <c r="B41" s="11" t="s">
        <v>62</v>
      </c>
      <c r="C41" s="11">
        <v>7.15</v>
      </c>
      <c r="D41" s="11">
        <v>4.681</v>
      </c>
      <c r="E41" s="11" t="s">
        <v>168</v>
      </c>
      <c r="F41" s="11">
        <f>M6*M7</f>
        <v>2</v>
      </c>
      <c r="G41" s="11"/>
      <c r="H41" s="11" t="s">
        <v>169</v>
      </c>
      <c r="I41" s="11">
        <f t="shared" si="2"/>
        <v>0.94</v>
      </c>
      <c r="J41" s="11">
        <f t="shared" si="3"/>
        <v>0.46484930555555554</v>
      </c>
      <c r="K41" s="11">
        <v>0.47</v>
      </c>
      <c r="L41" s="11" t="s">
        <v>238</v>
      </c>
    </row>
    <row r="42" spans="2:12" outlineLevel="2" x14ac:dyDescent="0.2">
      <c r="B42" s="11" t="s">
        <v>62</v>
      </c>
      <c r="C42" s="11">
        <v>8.1890000000000001</v>
      </c>
      <c r="D42" s="11">
        <v>4.181</v>
      </c>
      <c r="E42" s="11" t="s">
        <v>170</v>
      </c>
      <c r="F42" s="11">
        <f>M6*M7</f>
        <v>2</v>
      </c>
      <c r="G42" s="11"/>
      <c r="H42" s="11" t="s">
        <v>171</v>
      </c>
      <c r="I42" s="11">
        <f t="shared" si="2"/>
        <v>0.96</v>
      </c>
      <c r="J42" s="11">
        <f t="shared" si="3"/>
        <v>0.47553068055555553</v>
      </c>
      <c r="K42" s="11">
        <v>0.48</v>
      </c>
      <c r="L42" s="11" t="s">
        <v>238</v>
      </c>
    </row>
    <row r="43" spans="2:12" outlineLevel="2" x14ac:dyDescent="0.2">
      <c r="B43" s="11" t="s">
        <v>62</v>
      </c>
      <c r="C43" s="11">
        <v>2.0470000000000002</v>
      </c>
      <c r="D43" s="11">
        <v>1.3779999999999999</v>
      </c>
      <c r="E43" s="11" t="s">
        <v>172</v>
      </c>
      <c r="F43" s="11">
        <f>(M7*2)+IF(M7&gt;0,(M6*2),0)</f>
        <v>6</v>
      </c>
      <c r="G43" s="11"/>
      <c r="H43" s="11" t="s">
        <v>173</v>
      </c>
      <c r="I43" s="11">
        <f t="shared" si="2"/>
        <v>0.24</v>
      </c>
      <c r="J43" s="11">
        <f t="shared" si="3"/>
        <v>0.11753191666666668</v>
      </c>
      <c r="K43" s="11">
        <v>0.04</v>
      </c>
      <c r="L43" s="11" t="s">
        <v>238</v>
      </c>
    </row>
    <row r="44" spans="2:12" outlineLevel="1" x14ac:dyDescent="0.2"/>
    <row r="46" spans="2:12" x14ac:dyDescent="0.2">
      <c r="B46" s="20" t="str">
        <f>B14</f>
        <v>MATERIAL</v>
      </c>
      <c r="C46" s="20" t="str">
        <f>I14</f>
        <v>Weight Lbs</v>
      </c>
      <c r="D46" s="20" t="str">
        <f>J14</f>
        <v>SQ. FT</v>
      </c>
    </row>
    <row r="47" spans="2:12" x14ac:dyDescent="0.2">
      <c r="B47" s="11" t="s">
        <v>64</v>
      </c>
      <c r="C47" s="11">
        <f>SUBTOTAL(9,I15:I20)</f>
        <v>11.209999999999999</v>
      </c>
      <c r="D47" s="11">
        <f>SUBTOTAL(9,J15:J20)</f>
        <v>4.4745495902777774</v>
      </c>
    </row>
    <row r="48" spans="2:12" x14ac:dyDescent="0.2">
      <c r="B48" s="11" t="s">
        <v>62</v>
      </c>
      <c r="C48" s="11">
        <f>SUBTOTAL(9,I22:I43)</f>
        <v>18.410000000000004</v>
      </c>
      <c r="D48" s="11">
        <f>SUBTOTAL(9,J22:J43)</f>
        <v>9.1331613958333335</v>
      </c>
    </row>
  </sheetData>
  <autoFilter ref="B14:L43" xr:uid="{82CE319D-EA33-4CF2-9938-DF260EDC71C3}"/>
  <mergeCells count="11">
    <mergeCell ref="C13:D13"/>
    <mergeCell ref="B2:K2"/>
    <mergeCell ref="A3:A12"/>
    <mergeCell ref="B3:H3"/>
    <mergeCell ref="I3:I12"/>
    <mergeCell ref="J6:L6"/>
    <mergeCell ref="J7:L7"/>
    <mergeCell ref="E10:F10"/>
    <mergeCell ref="J10:L10"/>
    <mergeCell ref="B11:H12"/>
    <mergeCell ref="J11:L11"/>
  </mergeCells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6F82A-DF1E-4309-A1DB-A4928E868D9E}">
  <dimension ref="A1:O28"/>
  <sheetViews>
    <sheetView workbookViewId="0">
      <selection activeCell="Q1" sqref="Q1:Q1048576"/>
    </sheetView>
  </sheetViews>
  <sheetFormatPr defaultRowHeight="12.75" x14ac:dyDescent="0.2"/>
  <cols>
    <col min="1" max="1" width="16.5703125" bestFit="1" customWidth="1"/>
    <col min="2" max="2" width="8.5703125" bestFit="1" customWidth="1"/>
    <col min="4" max="4" width="40.42578125" bestFit="1" customWidth="1"/>
    <col min="5" max="5" width="5.28515625" bestFit="1" customWidth="1"/>
    <col min="7" max="7" width="13.42578125" bestFit="1" customWidth="1"/>
    <col min="11" max="11" width="13.5703125" customWidth="1"/>
    <col min="14" max="14" width="13.42578125" customWidth="1"/>
  </cols>
  <sheetData>
    <row r="1" spans="1:15" x14ac:dyDescent="0.2">
      <c r="A1" s="165"/>
      <c r="B1" s="165"/>
      <c r="C1" s="165"/>
      <c r="D1" s="165"/>
      <c r="E1" s="165"/>
      <c r="F1" s="165"/>
      <c r="G1" s="165"/>
    </row>
    <row r="3" spans="1:15" ht="18" x14ac:dyDescent="0.25">
      <c r="A3" s="26"/>
      <c r="B3" s="26"/>
      <c r="C3" s="26"/>
      <c r="D3" s="27" t="str">
        <f>"CM HOOD STD PARTS of " &amp;TextJobName&amp;" "&amp;TextCode</f>
        <v xml:space="preserve">CM HOOD STD PARTS of Standard Product </v>
      </c>
      <c r="E3" s="26"/>
      <c r="F3" s="26"/>
      <c r="G3" s="26"/>
      <c r="H3" s="25"/>
      <c r="K3" s="28" t="s">
        <v>179</v>
      </c>
      <c r="L3" s="29">
        <v>2</v>
      </c>
      <c r="N3" s="28" t="s">
        <v>180</v>
      </c>
      <c r="O3" s="29">
        <f>SUM(L3:L5)</f>
        <v>3</v>
      </c>
    </row>
    <row r="4" spans="1:15" ht="15" x14ac:dyDescent="0.25">
      <c r="A4" s="11"/>
      <c r="B4" s="184" t="s">
        <v>181</v>
      </c>
      <c r="C4" s="184"/>
      <c r="D4" s="11"/>
      <c r="E4" s="11"/>
      <c r="F4" s="11"/>
      <c r="G4" s="11"/>
      <c r="K4" s="28" t="s">
        <v>182</v>
      </c>
      <c r="L4" s="29">
        <v>1</v>
      </c>
      <c r="N4" s="28" t="s">
        <v>183</v>
      </c>
      <c r="O4" s="29">
        <v>1</v>
      </c>
    </row>
    <row r="5" spans="1:15" ht="15.75" x14ac:dyDescent="0.3">
      <c r="A5" s="30" t="s">
        <v>7</v>
      </c>
      <c r="B5" s="31" t="s">
        <v>184</v>
      </c>
      <c r="C5" s="32"/>
      <c r="D5" s="30" t="s">
        <v>8</v>
      </c>
      <c r="E5" s="30" t="s">
        <v>9</v>
      </c>
      <c r="F5" s="30" t="s">
        <v>185</v>
      </c>
      <c r="G5" s="30" t="s">
        <v>10</v>
      </c>
      <c r="H5" s="33"/>
      <c r="K5" s="28" t="s">
        <v>186</v>
      </c>
      <c r="L5" s="29">
        <v>0</v>
      </c>
    </row>
    <row r="6" spans="1:15" x14ac:dyDescent="0.2">
      <c r="A6" s="34" t="s">
        <v>187</v>
      </c>
      <c r="B6" s="35">
        <v>0.5</v>
      </c>
      <c r="C6" s="35">
        <v>6.4539999999999997</v>
      </c>
      <c r="D6" s="36" t="s">
        <v>188</v>
      </c>
      <c r="E6" s="37">
        <v>4</v>
      </c>
      <c r="F6" s="30"/>
      <c r="G6" s="11" t="s">
        <v>189</v>
      </c>
      <c r="H6">
        <f>4.427*I6</f>
        <v>0.39683136111111106</v>
      </c>
      <c r="I6">
        <f>B6*C6*E6/144</f>
        <v>8.9638888888888879E-2</v>
      </c>
    </row>
    <row r="7" spans="1:15" ht="15" x14ac:dyDescent="0.3">
      <c r="A7" s="38"/>
      <c r="B7" s="39"/>
      <c r="C7" s="35"/>
      <c r="D7" s="38"/>
      <c r="E7" s="30"/>
      <c r="F7" s="30"/>
      <c r="G7" s="30"/>
      <c r="H7" s="33"/>
    </row>
    <row r="8" spans="1:15" x14ac:dyDescent="0.2">
      <c r="A8" s="34" t="s">
        <v>190</v>
      </c>
      <c r="B8" s="35">
        <v>35.188000000000002</v>
      </c>
      <c r="C8" s="35">
        <v>17.814</v>
      </c>
      <c r="D8" s="40" t="s">
        <v>191</v>
      </c>
      <c r="E8" s="26">
        <f>L3</f>
        <v>2</v>
      </c>
      <c r="F8" s="11"/>
      <c r="G8" s="11" t="s">
        <v>192</v>
      </c>
      <c r="H8">
        <f t="shared" ref="H8:H23" si="0">2.016*I8</f>
        <v>17.551492896000003</v>
      </c>
      <c r="I8">
        <f t="shared" ref="I8:I23" si="1">B8*C8*E8/144</f>
        <v>8.7060976666666683</v>
      </c>
    </row>
    <row r="9" spans="1:15" x14ac:dyDescent="0.2">
      <c r="A9" s="34" t="s">
        <v>190</v>
      </c>
      <c r="B9" s="35">
        <v>33.25</v>
      </c>
      <c r="C9" s="35">
        <v>2.915</v>
      </c>
      <c r="D9" s="40" t="s">
        <v>193</v>
      </c>
      <c r="E9" s="26">
        <f>L3</f>
        <v>2</v>
      </c>
      <c r="F9" s="11"/>
      <c r="G9" s="11" t="s">
        <v>194</v>
      </c>
      <c r="H9">
        <f t="shared" si="0"/>
        <v>2.7138649999999997</v>
      </c>
      <c r="I9">
        <f t="shared" si="1"/>
        <v>1.3461631944444443</v>
      </c>
    </row>
    <row r="10" spans="1:15" x14ac:dyDescent="0.2">
      <c r="A10" s="34" t="s">
        <v>190</v>
      </c>
      <c r="B10" s="35">
        <v>37.113</v>
      </c>
      <c r="C10" s="35">
        <v>4.1779999999999999</v>
      </c>
      <c r="D10" s="40" t="s">
        <v>195</v>
      </c>
      <c r="E10" s="26">
        <f>L3</f>
        <v>2</v>
      </c>
      <c r="F10" s="11"/>
      <c r="G10" s="11" t="s">
        <v>196</v>
      </c>
      <c r="H10">
        <f t="shared" si="0"/>
        <v>4.3416271919999998</v>
      </c>
      <c r="I10">
        <f t="shared" si="1"/>
        <v>2.1535849166666665</v>
      </c>
    </row>
    <row r="11" spans="1:15" x14ac:dyDescent="0.2">
      <c r="A11" s="34" t="s">
        <v>190</v>
      </c>
      <c r="B11" s="35">
        <v>29.187999999999999</v>
      </c>
      <c r="C11" s="35">
        <v>17.814</v>
      </c>
      <c r="D11" s="40" t="s">
        <v>197</v>
      </c>
      <c r="E11" s="26">
        <f>$L$4</f>
        <v>1</v>
      </c>
      <c r="F11" s="11"/>
      <c r="G11" s="11" t="s">
        <v>198</v>
      </c>
      <c r="H11">
        <f t="shared" si="0"/>
        <v>7.279370447999999</v>
      </c>
      <c r="I11">
        <f t="shared" si="1"/>
        <v>3.610798833333333</v>
      </c>
    </row>
    <row r="12" spans="1:15" x14ac:dyDescent="0.2">
      <c r="A12" s="34" t="s">
        <v>190</v>
      </c>
      <c r="B12" s="35">
        <v>27.25</v>
      </c>
      <c r="C12" s="35">
        <v>2.915</v>
      </c>
      <c r="D12" s="40" t="s">
        <v>199</v>
      </c>
      <c r="E12" s="26">
        <f>$L$4</f>
        <v>1</v>
      </c>
      <c r="F12" s="11"/>
      <c r="G12" s="11" t="s">
        <v>200</v>
      </c>
      <c r="H12">
        <f t="shared" si="0"/>
        <v>1.1120725</v>
      </c>
      <c r="I12">
        <f t="shared" si="1"/>
        <v>0.55162326388888894</v>
      </c>
    </row>
    <row r="13" spans="1:15" x14ac:dyDescent="0.2">
      <c r="A13" s="34" t="s">
        <v>190</v>
      </c>
      <c r="B13" s="35">
        <v>31.113</v>
      </c>
      <c r="C13" s="35">
        <v>4.1779999999999999</v>
      </c>
      <c r="D13" s="40" t="s">
        <v>201</v>
      </c>
      <c r="E13" s="26">
        <f>$L$4</f>
        <v>1</v>
      </c>
      <c r="F13" s="11"/>
      <c r="G13" s="11" t="s">
        <v>202</v>
      </c>
      <c r="H13">
        <f t="shared" si="0"/>
        <v>1.819861596</v>
      </c>
      <c r="I13">
        <f t="shared" si="1"/>
        <v>0.902709125</v>
      </c>
    </row>
    <row r="14" spans="1:15" x14ac:dyDescent="0.2">
      <c r="A14" s="34" t="s">
        <v>190</v>
      </c>
      <c r="B14" s="35">
        <v>23.187999999999999</v>
      </c>
      <c r="C14" s="35">
        <v>17.814</v>
      </c>
      <c r="D14" s="40" t="s">
        <v>203</v>
      </c>
      <c r="E14" s="26">
        <f>L5</f>
        <v>0</v>
      </c>
      <c r="F14" s="11"/>
      <c r="G14" s="11" t="s">
        <v>204</v>
      </c>
      <c r="H14">
        <f t="shared" si="0"/>
        <v>0</v>
      </c>
      <c r="I14">
        <f t="shared" si="1"/>
        <v>0</v>
      </c>
    </row>
    <row r="15" spans="1:15" x14ac:dyDescent="0.2">
      <c r="A15" s="34" t="s">
        <v>190</v>
      </c>
      <c r="B15" s="35">
        <v>21.25</v>
      </c>
      <c r="C15" s="35">
        <v>2.915</v>
      </c>
      <c r="D15" s="40" t="s">
        <v>205</v>
      </c>
      <c r="E15" s="26">
        <f>L5</f>
        <v>0</v>
      </c>
      <c r="F15" s="11"/>
      <c r="G15" s="11" t="s">
        <v>206</v>
      </c>
      <c r="H15">
        <f t="shared" si="0"/>
        <v>0</v>
      </c>
      <c r="I15">
        <f t="shared" si="1"/>
        <v>0</v>
      </c>
    </row>
    <row r="16" spans="1:15" x14ac:dyDescent="0.2">
      <c r="A16" s="34" t="s">
        <v>190</v>
      </c>
      <c r="B16" s="35">
        <v>25.113</v>
      </c>
      <c r="C16" s="35">
        <v>4.1779999999999999</v>
      </c>
      <c r="D16" s="40" t="s">
        <v>207</v>
      </c>
      <c r="E16" s="26">
        <f>L5</f>
        <v>0</v>
      </c>
      <c r="F16" s="11"/>
      <c r="G16" s="11" t="s">
        <v>208</v>
      </c>
      <c r="H16">
        <f t="shared" si="0"/>
        <v>0</v>
      </c>
      <c r="I16">
        <f t="shared" si="1"/>
        <v>0</v>
      </c>
    </row>
    <row r="17" spans="1:9" x14ac:dyDescent="0.2">
      <c r="A17" s="34" t="s">
        <v>190</v>
      </c>
      <c r="B17" s="35">
        <v>0.5</v>
      </c>
      <c r="C17" s="35">
        <v>0.99199999999999999</v>
      </c>
      <c r="D17" s="40" t="s">
        <v>209</v>
      </c>
      <c r="E17" s="26">
        <f>2*O3</f>
        <v>6</v>
      </c>
      <c r="F17" s="11"/>
      <c r="G17" s="11" t="s">
        <v>210</v>
      </c>
      <c r="H17">
        <f t="shared" si="0"/>
        <v>4.1664E-2</v>
      </c>
      <c r="I17">
        <f t="shared" si="1"/>
        <v>2.0666666666666667E-2</v>
      </c>
    </row>
    <row r="18" spans="1:9" x14ac:dyDescent="0.2">
      <c r="A18" s="34" t="s">
        <v>190</v>
      </c>
      <c r="B18" s="35">
        <v>6.2629999999999999</v>
      </c>
      <c r="C18" s="35">
        <v>4.2750000000000004</v>
      </c>
      <c r="D18" s="40" t="s">
        <v>211</v>
      </c>
      <c r="E18" s="26">
        <f>O3-1</f>
        <v>2</v>
      </c>
      <c r="F18" s="11"/>
      <c r="G18" s="11" t="s">
        <v>212</v>
      </c>
      <c r="H18">
        <f t="shared" si="0"/>
        <v>0.7496811000000001</v>
      </c>
      <c r="I18">
        <f t="shared" si="1"/>
        <v>0.37186562500000003</v>
      </c>
    </row>
    <row r="19" spans="1:9" x14ac:dyDescent="0.2">
      <c r="A19" s="34" t="s">
        <v>190</v>
      </c>
      <c r="B19" s="35">
        <v>3.5139999999999998</v>
      </c>
      <c r="C19" s="35">
        <v>2.9159999999999999</v>
      </c>
      <c r="D19" s="40" t="s">
        <v>213</v>
      </c>
      <c r="E19" s="26">
        <v>2</v>
      </c>
      <c r="F19" s="11"/>
      <c r="G19" s="11" t="s">
        <v>214</v>
      </c>
      <c r="H19">
        <f t="shared" si="0"/>
        <v>0.28691107199999993</v>
      </c>
      <c r="I19">
        <f t="shared" si="1"/>
        <v>0.14231699999999997</v>
      </c>
    </row>
    <row r="20" spans="1:9" x14ac:dyDescent="0.2">
      <c r="A20" s="34" t="s">
        <v>190</v>
      </c>
      <c r="B20" s="35">
        <v>5.18</v>
      </c>
      <c r="C20" s="35">
        <v>2.4369999999999998</v>
      </c>
      <c r="D20" s="40" t="s">
        <v>215</v>
      </c>
      <c r="E20" s="26">
        <f>O3-1</f>
        <v>2</v>
      </c>
      <c r="F20" s="11"/>
      <c r="G20" s="11" t="s">
        <v>216</v>
      </c>
      <c r="H20">
        <f t="shared" si="0"/>
        <v>0.35346247999999997</v>
      </c>
      <c r="I20">
        <f t="shared" si="1"/>
        <v>0.17532861111111109</v>
      </c>
    </row>
    <row r="21" spans="1:9" x14ac:dyDescent="0.2">
      <c r="A21" s="34" t="s">
        <v>190</v>
      </c>
      <c r="B21" s="35">
        <v>1.5189999999999999</v>
      </c>
      <c r="C21" s="35">
        <v>12.875</v>
      </c>
      <c r="D21" s="40" t="s">
        <v>217</v>
      </c>
      <c r="E21" s="26">
        <f>O3-1</f>
        <v>2</v>
      </c>
      <c r="F21" s="11"/>
      <c r="G21" s="11" t="s">
        <v>218</v>
      </c>
      <c r="H21">
        <f t="shared" si="0"/>
        <v>0.54759950000000002</v>
      </c>
      <c r="I21">
        <f t="shared" si="1"/>
        <v>0.2716267361111111</v>
      </c>
    </row>
    <row r="22" spans="1:9" x14ac:dyDescent="0.2">
      <c r="A22" s="34" t="s">
        <v>190</v>
      </c>
      <c r="B22" s="35">
        <v>2.524</v>
      </c>
      <c r="C22" s="35">
        <v>2.4369999999999998</v>
      </c>
      <c r="D22" s="40" t="s">
        <v>219</v>
      </c>
      <c r="E22" s="26">
        <v>2</v>
      </c>
      <c r="F22" s="11"/>
      <c r="G22" s="11" t="s">
        <v>220</v>
      </c>
      <c r="H22">
        <f t="shared" si="0"/>
        <v>0.172227664</v>
      </c>
      <c r="I22">
        <f t="shared" si="1"/>
        <v>8.5430388888888889E-2</v>
      </c>
    </row>
    <row r="23" spans="1:9" x14ac:dyDescent="0.2">
      <c r="A23" s="34" t="s">
        <v>190</v>
      </c>
      <c r="B23" s="35">
        <v>5</v>
      </c>
      <c r="C23" s="35">
        <v>1.038</v>
      </c>
      <c r="D23" s="40" t="s">
        <v>221</v>
      </c>
      <c r="E23" s="26">
        <f>2*O4</f>
        <v>2</v>
      </c>
      <c r="F23" s="11"/>
      <c r="G23" s="11" t="s">
        <v>222</v>
      </c>
      <c r="H23">
        <f t="shared" si="0"/>
        <v>0.14532</v>
      </c>
      <c r="I23">
        <f t="shared" si="1"/>
        <v>7.2083333333333333E-2</v>
      </c>
    </row>
    <row r="24" spans="1:9" x14ac:dyDescent="0.2">
      <c r="B24" s="41"/>
      <c r="C24" s="41"/>
      <c r="E24" s="25"/>
    </row>
    <row r="25" spans="1:9" x14ac:dyDescent="0.2">
      <c r="A25" s="42" t="s">
        <v>7</v>
      </c>
      <c r="B25" s="43" t="s">
        <v>111</v>
      </c>
      <c r="C25" s="43" t="s">
        <v>223</v>
      </c>
      <c r="E25" s="25"/>
    </row>
    <row r="26" spans="1:9" x14ac:dyDescent="0.2">
      <c r="A26" s="34" t="s">
        <v>187</v>
      </c>
      <c r="B26" s="32">
        <f>SUM(I6)</f>
        <v>8.9638888888888879E-2</v>
      </c>
      <c r="C26" s="32">
        <f>B26*3.5</f>
        <v>0.3137361111111111</v>
      </c>
      <c r="E26" s="25"/>
    </row>
    <row r="27" spans="1:9" x14ac:dyDescent="0.2">
      <c r="A27" s="34" t="s">
        <v>190</v>
      </c>
      <c r="B27" s="32">
        <f>SUM(I8:I23)</f>
        <v>18.41029536111111</v>
      </c>
      <c r="C27" s="32">
        <f>B27*2.016</f>
        <v>37.115155447999996</v>
      </c>
      <c r="E27" s="25"/>
    </row>
    <row r="28" spans="1:9" x14ac:dyDescent="0.2">
      <c r="B28" s="41"/>
      <c r="C28" s="41"/>
      <c r="E28" s="25"/>
    </row>
  </sheetData>
  <mergeCells count="2">
    <mergeCell ref="B4:C4"/>
    <mergeCell ref="A1:G1"/>
  </mergeCells>
  <pageMargins left="0.7" right="0.7" top="0.75" bottom="0.75" header="0.3" footer="0.3"/>
  <pageSetup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21"/>
  <sheetViews>
    <sheetView workbookViewId="0">
      <selection activeCell="E3" sqref="E3"/>
    </sheetView>
  </sheetViews>
  <sheetFormatPr defaultRowHeight="12.75" x14ac:dyDescent="0.2"/>
  <cols>
    <col min="1" max="1" width="14.140625" customWidth="1"/>
    <col min="2" max="2" width="17.28515625" customWidth="1"/>
    <col min="3" max="3" width="11.42578125" customWidth="1"/>
    <col min="4" max="4" width="19.28515625" customWidth="1"/>
    <col min="5" max="5" width="19.42578125" customWidth="1"/>
  </cols>
  <sheetData>
    <row r="1" spans="1:5" ht="22.5" x14ac:dyDescent="0.3">
      <c r="A1" s="2" t="s">
        <v>13</v>
      </c>
    </row>
    <row r="2" spans="1:5" x14ac:dyDescent="0.2">
      <c r="A2" s="3" t="s">
        <v>80</v>
      </c>
      <c r="B2" s="3" t="s">
        <v>81</v>
      </c>
      <c r="C2" s="3" t="s">
        <v>82</v>
      </c>
      <c r="D2" s="3" t="s">
        <v>83</v>
      </c>
      <c r="E2" s="3" t="s">
        <v>84</v>
      </c>
    </row>
    <row r="3" spans="1:5" ht="15" x14ac:dyDescent="0.25">
      <c r="A3" s="16" t="s">
        <v>47</v>
      </c>
      <c r="B3" s="16">
        <v>8.8999999999999996E-2</v>
      </c>
      <c r="C3" s="16">
        <v>0.65</v>
      </c>
      <c r="D3" s="16">
        <v>1</v>
      </c>
      <c r="E3" s="16">
        <v>0.9</v>
      </c>
    </row>
    <row r="4" spans="1:5" ht="15" x14ac:dyDescent="0.25">
      <c r="A4" s="16" t="s">
        <v>48</v>
      </c>
      <c r="B4" s="16">
        <v>8.8999999999999996E-2</v>
      </c>
      <c r="C4" s="16">
        <v>0.65</v>
      </c>
      <c r="D4" s="16">
        <v>1</v>
      </c>
      <c r="E4" s="16">
        <v>1.22</v>
      </c>
    </row>
    <row r="5" spans="1:5" ht="15" x14ac:dyDescent="0.25">
      <c r="A5" s="16" t="s">
        <v>49</v>
      </c>
      <c r="B5" s="16">
        <v>0.124</v>
      </c>
      <c r="C5" s="16">
        <v>0.65</v>
      </c>
      <c r="D5" s="16">
        <v>1</v>
      </c>
      <c r="E5" s="16">
        <v>1.51</v>
      </c>
    </row>
    <row r="6" spans="1:5" ht="15" x14ac:dyDescent="0.25">
      <c r="A6" s="16" t="s">
        <v>50</v>
      </c>
      <c r="B6" s="16">
        <v>0.34</v>
      </c>
      <c r="C6" s="16">
        <v>0.65</v>
      </c>
      <c r="D6" s="16">
        <v>1</v>
      </c>
      <c r="E6" s="16">
        <v>1.91</v>
      </c>
    </row>
    <row r="7" spans="1:5" ht="15" x14ac:dyDescent="0.25">
      <c r="A7" s="16" t="s">
        <v>51</v>
      </c>
      <c r="B7" s="16">
        <v>0.34</v>
      </c>
      <c r="C7" s="16">
        <v>0.65</v>
      </c>
      <c r="D7" s="16">
        <v>1</v>
      </c>
      <c r="E7" s="16">
        <v>2.68</v>
      </c>
    </row>
    <row r="8" spans="1:5" ht="15" x14ac:dyDescent="0.25">
      <c r="A8" s="16" t="s">
        <v>178</v>
      </c>
      <c r="B8" s="16">
        <v>0.34</v>
      </c>
      <c r="C8" s="16">
        <v>0.65</v>
      </c>
      <c r="D8" s="16">
        <v>1</v>
      </c>
      <c r="E8" s="16">
        <v>3.1749999999999998</v>
      </c>
    </row>
    <row r="9" spans="1:5" ht="15" x14ac:dyDescent="0.25">
      <c r="A9" s="16" t="s">
        <v>61</v>
      </c>
      <c r="B9" s="16">
        <v>8.8999999999999996E-2</v>
      </c>
      <c r="C9" s="16">
        <v>0.65</v>
      </c>
      <c r="D9" s="16">
        <v>1</v>
      </c>
      <c r="E9" s="16">
        <v>0.95</v>
      </c>
    </row>
    <row r="10" spans="1:5" ht="15" x14ac:dyDescent="0.25">
      <c r="A10" s="16" t="s">
        <v>52</v>
      </c>
      <c r="B10" s="16">
        <v>0.182</v>
      </c>
      <c r="C10" s="16">
        <v>0.65</v>
      </c>
      <c r="D10" s="16">
        <v>0.5</v>
      </c>
      <c r="E10" s="16">
        <v>1</v>
      </c>
    </row>
    <row r="11" spans="1:5" ht="15" x14ac:dyDescent="0.25">
      <c r="A11" s="16" t="s">
        <v>53</v>
      </c>
      <c r="B11" s="16">
        <v>0.25600000000000001</v>
      </c>
      <c r="C11" s="16">
        <v>0.65</v>
      </c>
      <c r="D11" s="16">
        <v>0.5</v>
      </c>
      <c r="E11" s="16">
        <v>1.2</v>
      </c>
    </row>
    <row r="12" spans="1:5" ht="15" x14ac:dyDescent="0.25">
      <c r="A12" s="16" t="s">
        <v>85</v>
      </c>
      <c r="B12" s="16">
        <v>0.25600000000000001</v>
      </c>
      <c r="C12" s="16">
        <v>0.65</v>
      </c>
      <c r="D12" s="16">
        <v>0.5</v>
      </c>
      <c r="E12" s="16">
        <v>1.2</v>
      </c>
    </row>
    <row r="13" spans="1:5" ht="15" x14ac:dyDescent="0.25">
      <c r="A13" s="16" t="s">
        <v>54</v>
      </c>
      <c r="B13" s="16">
        <v>0.26</v>
      </c>
      <c r="C13" s="16">
        <v>0.65</v>
      </c>
      <c r="D13" s="16">
        <v>0.5</v>
      </c>
      <c r="E13" s="16">
        <v>1.35</v>
      </c>
    </row>
    <row r="14" spans="1:5" ht="15" x14ac:dyDescent="0.25">
      <c r="A14" s="16" t="s">
        <v>55</v>
      </c>
      <c r="B14" s="16">
        <v>0.20599999999999999</v>
      </c>
      <c r="C14" s="16">
        <v>0.65</v>
      </c>
      <c r="D14" s="16">
        <v>0.5</v>
      </c>
      <c r="E14" s="16">
        <v>1.5</v>
      </c>
    </row>
    <row r="15" spans="1:5" ht="15" x14ac:dyDescent="0.25">
      <c r="A15" s="16" t="s">
        <v>56</v>
      </c>
      <c r="B15" s="16">
        <v>0.218</v>
      </c>
      <c r="C15" s="16">
        <v>0.65</v>
      </c>
      <c r="D15" s="16">
        <v>0.5</v>
      </c>
      <c r="E15" s="16">
        <v>2</v>
      </c>
    </row>
    <row r="16" spans="1:5" ht="15" x14ac:dyDescent="0.25">
      <c r="A16" s="16" t="s">
        <v>57</v>
      </c>
      <c r="B16" s="16">
        <v>0.20899999999999999</v>
      </c>
      <c r="C16" s="16">
        <v>0.65</v>
      </c>
      <c r="D16" s="16">
        <v>0.5</v>
      </c>
      <c r="E16" s="16">
        <v>3</v>
      </c>
    </row>
    <row r="17" spans="1:5" ht="15" x14ac:dyDescent="0.25">
      <c r="A17" s="16" t="s">
        <v>98</v>
      </c>
      <c r="B17" s="16">
        <v>0.20899999999999999</v>
      </c>
      <c r="C17" s="16">
        <v>0.65</v>
      </c>
      <c r="D17" s="16">
        <v>0.5</v>
      </c>
      <c r="E17" s="16">
        <v>5</v>
      </c>
    </row>
    <row r="18" spans="1:5" ht="15" x14ac:dyDescent="0.25">
      <c r="A18" s="16" t="s">
        <v>99</v>
      </c>
      <c r="B18" s="16">
        <v>0.20899999999999999</v>
      </c>
      <c r="C18" s="16">
        <v>0.65</v>
      </c>
      <c r="D18" s="16">
        <v>0.5</v>
      </c>
      <c r="E18" s="16">
        <v>8</v>
      </c>
    </row>
    <row r="19" spans="1:5" ht="15" x14ac:dyDescent="0.25">
      <c r="A19" s="16" t="s">
        <v>100</v>
      </c>
      <c r="B19" s="16">
        <v>0.20899999999999999</v>
      </c>
      <c r="C19" s="16">
        <v>0.65</v>
      </c>
      <c r="D19" s="16">
        <v>0.5</v>
      </c>
      <c r="E19" s="16">
        <v>10</v>
      </c>
    </row>
    <row r="20" spans="1:5" ht="15" x14ac:dyDescent="0.25">
      <c r="A20" s="16" t="s">
        <v>101</v>
      </c>
      <c r="B20" s="16">
        <v>0.20899999999999999</v>
      </c>
      <c r="C20" s="16">
        <v>0.65</v>
      </c>
      <c r="D20" s="16">
        <v>0.5</v>
      </c>
      <c r="E20" s="16">
        <v>11</v>
      </c>
    </row>
    <row r="21" spans="1:5" ht="15" x14ac:dyDescent="0.25">
      <c r="A21" s="16" t="s">
        <v>102</v>
      </c>
      <c r="B21" s="16">
        <v>0.20899999999999999</v>
      </c>
      <c r="C21" s="16">
        <v>0.65</v>
      </c>
      <c r="D21" s="16">
        <v>0.5</v>
      </c>
      <c r="E21" s="16">
        <v>12</v>
      </c>
    </row>
  </sheetData>
  <phoneticPr fontId="5" type="noConversion"/>
  <pageMargins left="0.75" right="0.75" top="1" bottom="1" header="0.5" footer="0.5"/>
  <pageSetup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13444-080F-4880-BD25-8BBBE7BC3B8B}">
  <dimension ref="A2:L23"/>
  <sheetViews>
    <sheetView workbookViewId="0">
      <selection activeCell="O28" sqref="O28"/>
    </sheetView>
  </sheetViews>
  <sheetFormatPr defaultRowHeight="12.75" x14ac:dyDescent="0.2"/>
  <sheetData>
    <row r="2" spans="1:12" x14ac:dyDescent="0.2">
      <c r="A2" t="s">
        <v>224</v>
      </c>
      <c r="H2" t="s">
        <v>225</v>
      </c>
    </row>
    <row r="3" spans="1:12" ht="22.5" x14ac:dyDescent="0.3">
      <c r="A3" s="2" t="s">
        <v>13</v>
      </c>
      <c r="H3" s="2" t="s">
        <v>13</v>
      </c>
    </row>
    <row r="4" spans="1:12" x14ac:dyDescent="0.2">
      <c r="A4" s="3" t="s">
        <v>80</v>
      </c>
      <c r="B4" s="3" t="s">
        <v>81</v>
      </c>
      <c r="C4" s="3" t="s">
        <v>82</v>
      </c>
      <c r="D4" s="3" t="s">
        <v>83</v>
      </c>
      <c r="E4" s="3" t="s">
        <v>84</v>
      </c>
      <c r="H4" s="3" t="s">
        <v>80</v>
      </c>
      <c r="I4" s="3" t="s">
        <v>81</v>
      </c>
      <c r="J4" s="3" t="s">
        <v>82</v>
      </c>
      <c r="K4" s="3" t="s">
        <v>83</v>
      </c>
      <c r="L4" s="3" t="s">
        <v>84</v>
      </c>
    </row>
    <row r="5" spans="1:12" ht="15" x14ac:dyDescent="0.25">
      <c r="A5" s="16" t="s">
        <v>47</v>
      </c>
      <c r="B5" s="16">
        <v>8.8999999999999996E-2</v>
      </c>
      <c r="C5" s="16">
        <v>0.65</v>
      </c>
      <c r="D5" s="16">
        <v>1</v>
      </c>
      <c r="E5" s="16">
        <v>0.9</v>
      </c>
      <c r="H5" s="16" t="s">
        <v>47</v>
      </c>
      <c r="I5" s="16">
        <v>8.8999999999999996E-2</v>
      </c>
      <c r="J5" s="16">
        <v>0.65</v>
      </c>
      <c r="K5" s="16">
        <v>1</v>
      </c>
      <c r="L5" s="16">
        <v>0.9</v>
      </c>
    </row>
    <row r="6" spans="1:12" ht="15" x14ac:dyDescent="0.25">
      <c r="A6" s="16" t="s">
        <v>48</v>
      </c>
      <c r="B6" s="16">
        <v>8.8999999999999996E-2</v>
      </c>
      <c r="C6" s="16">
        <v>0.65</v>
      </c>
      <c r="D6" s="16">
        <v>1</v>
      </c>
      <c r="E6" s="16">
        <v>1.22</v>
      </c>
      <c r="H6" s="16" t="s">
        <v>48</v>
      </c>
      <c r="I6" s="16">
        <v>8.8999999999999996E-2</v>
      </c>
      <c r="J6" s="16">
        <v>0.65</v>
      </c>
      <c r="K6" s="16">
        <v>1</v>
      </c>
      <c r="L6" s="16">
        <v>1.22</v>
      </c>
    </row>
    <row r="7" spans="1:12" ht="15" x14ac:dyDescent="0.25">
      <c r="A7" s="16" t="s">
        <v>49</v>
      </c>
      <c r="B7" s="16">
        <v>0.124</v>
      </c>
      <c r="C7" s="16">
        <v>0.65</v>
      </c>
      <c r="D7" s="16">
        <v>1</v>
      </c>
      <c r="E7" s="16">
        <v>1.51</v>
      </c>
      <c r="H7" s="16" t="s">
        <v>49</v>
      </c>
      <c r="I7" s="44">
        <v>0.38200000000000001</v>
      </c>
      <c r="J7" s="16">
        <v>0.65</v>
      </c>
      <c r="K7" s="16">
        <v>1</v>
      </c>
      <c r="L7" s="16">
        <v>1.51</v>
      </c>
    </row>
    <row r="8" spans="1:12" ht="15" x14ac:dyDescent="0.25">
      <c r="A8" s="16" t="s">
        <v>50</v>
      </c>
      <c r="B8" s="16">
        <v>0.34</v>
      </c>
      <c r="C8" s="16">
        <v>0.65</v>
      </c>
      <c r="D8" s="16">
        <v>1</v>
      </c>
      <c r="E8" s="16">
        <v>1.91</v>
      </c>
      <c r="H8" s="16" t="s">
        <v>50</v>
      </c>
      <c r="I8" s="16">
        <v>0.34</v>
      </c>
      <c r="J8" s="16">
        <v>0.65</v>
      </c>
      <c r="K8" s="16">
        <v>1</v>
      </c>
      <c r="L8" s="16">
        <v>1.91</v>
      </c>
    </row>
    <row r="9" spans="1:12" ht="15" x14ac:dyDescent="0.25">
      <c r="A9" s="16" t="s">
        <v>51</v>
      </c>
      <c r="B9" s="16">
        <v>0.34</v>
      </c>
      <c r="C9" s="16">
        <v>0.65</v>
      </c>
      <c r="D9" s="16">
        <v>1</v>
      </c>
      <c r="E9" s="16">
        <v>2.68</v>
      </c>
      <c r="H9" s="16" t="s">
        <v>51</v>
      </c>
      <c r="I9" s="16">
        <v>0.34</v>
      </c>
      <c r="J9" s="16">
        <v>0.65</v>
      </c>
      <c r="K9" s="16">
        <v>1</v>
      </c>
      <c r="L9" s="16">
        <v>2.68</v>
      </c>
    </row>
    <row r="10" spans="1:12" ht="15" x14ac:dyDescent="0.25">
      <c r="A10" s="16" t="s">
        <v>178</v>
      </c>
      <c r="B10" s="16">
        <v>0.34</v>
      </c>
      <c r="C10" s="16">
        <v>0.65</v>
      </c>
      <c r="D10" s="16">
        <v>1</v>
      </c>
      <c r="E10" s="16">
        <v>3.1749999999999998</v>
      </c>
      <c r="H10" s="16" t="s">
        <v>178</v>
      </c>
      <c r="I10" s="16">
        <v>0.34</v>
      </c>
      <c r="J10" s="16">
        <v>0.65</v>
      </c>
      <c r="K10" s="16">
        <v>1</v>
      </c>
      <c r="L10" s="16">
        <v>3.1749999999999998</v>
      </c>
    </row>
    <row r="11" spans="1:12" ht="15" x14ac:dyDescent="0.25">
      <c r="A11" s="16" t="s">
        <v>61</v>
      </c>
      <c r="B11" s="16">
        <v>8.8999999999999996E-2</v>
      </c>
      <c r="C11" s="16">
        <v>0.65</v>
      </c>
      <c r="D11" s="16">
        <v>1</v>
      </c>
      <c r="E11" s="16">
        <v>0.95</v>
      </c>
      <c r="H11" s="16" t="s">
        <v>61</v>
      </c>
      <c r="I11" s="16">
        <v>8.8999999999999996E-2</v>
      </c>
      <c r="J11" s="16">
        <v>0.65</v>
      </c>
      <c r="K11" s="16">
        <v>1</v>
      </c>
      <c r="L11" s="16">
        <v>0.95</v>
      </c>
    </row>
    <row r="12" spans="1:12" ht="15" x14ac:dyDescent="0.25">
      <c r="A12" s="16" t="s">
        <v>52</v>
      </c>
      <c r="B12" s="16">
        <v>0.182</v>
      </c>
      <c r="C12" s="16">
        <v>0.65</v>
      </c>
      <c r="D12" s="16">
        <v>0.5</v>
      </c>
      <c r="E12" s="16">
        <v>1</v>
      </c>
      <c r="H12" s="16" t="s">
        <v>52</v>
      </c>
      <c r="I12" s="16">
        <v>0.182</v>
      </c>
      <c r="J12" s="16">
        <v>0.65</v>
      </c>
      <c r="K12" s="16">
        <v>0.5</v>
      </c>
      <c r="L12" s="16">
        <v>1</v>
      </c>
    </row>
    <row r="13" spans="1:12" ht="15" x14ac:dyDescent="0.25">
      <c r="A13" s="16" t="s">
        <v>53</v>
      </c>
      <c r="B13" s="16">
        <v>0.25600000000000001</v>
      </c>
      <c r="C13" s="16">
        <v>0.65</v>
      </c>
      <c r="D13" s="16">
        <v>0.5</v>
      </c>
      <c r="E13" s="16">
        <v>1.2</v>
      </c>
      <c r="H13" s="16" t="s">
        <v>53</v>
      </c>
      <c r="I13" s="16">
        <v>0.25600000000000001</v>
      </c>
      <c r="J13" s="16">
        <v>0.65</v>
      </c>
      <c r="K13" s="16">
        <v>0.5</v>
      </c>
      <c r="L13" s="16">
        <v>1.2</v>
      </c>
    </row>
    <row r="14" spans="1:12" ht="15" x14ac:dyDescent="0.25">
      <c r="A14" s="16" t="s">
        <v>85</v>
      </c>
      <c r="B14" s="16">
        <v>0.25600000000000001</v>
      </c>
      <c r="C14" s="16">
        <v>0.65</v>
      </c>
      <c r="D14" s="16">
        <v>0.5</v>
      </c>
      <c r="E14" s="16">
        <v>1.2</v>
      </c>
      <c r="H14" s="16" t="s">
        <v>85</v>
      </c>
      <c r="I14" s="16">
        <v>0.25600000000000001</v>
      </c>
      <c r="J14" s="16">
        <v>0.65</v>
      </c>
      <c r="K14" s="16">
        <v>0.5</v>
      </c>
      <c r="L14" s="16">
        <v>1.2</v>
      </c>
    </row>
    <row r="15" spans="1:12" ht="15" x14ac:dyDescent="0.25">
      <c r="A15" s="16" t="s">
        <v>54</v>
      </c>
      <c r="B15" s="16">
        <v>0.26</v>
      </c>
      <c r="C15" s="16">
        <v>0.65</v>
      </c>
      <c r="D15" s="16">
        <v>0.5</v>
      </c>
      <c r="E15" s="16">
        <v>1.35</v>
      </c>
      <c r="H15" s="16" t="s">
        <v>54</v>
      </c>
      <c r="I15" s="16">
        <v>0.26</v>
      </c>
      <c r="J15" s="16">
        <v>0.65</v>
      </c>
      <c r="K15" s="16">
        <v>0.5</v>
      </c>
      <c r="L15" s="16">
        <v>1.35</v>
      </c>
    </row>
    <row r="16" spans="1:12" ht="15" x14ac:dyDescent="0.25">
      <c r="A16" s="16" t="s">
        <v>55</v>
      </c>
      <c r="B16" s="16">
        <v>0.20599999999999999</v>
      </c>
      <c r="C16" s="16">
        <v>0.65</v>
      </c>
      <c r="D16" s="16">
        <v>0.5</v>
      </c>
      <c r="E16" s="16">
        <v>1.5</v>
      </c>
      <c r="H16" s="16" t="s">
        <v>55</v>
      </c>
      <c r="I16" s="16">
        <v>0.20599999999999999</v>
      </c>
      <c r="J16" s="16">
        <v>0.65</v>
      </c>
      <c r="K16" s="16">
        <v>0.5</v>
      </c>
      <c r="L16" s="16">
        <v>1.5</v>
      </c>
    </row>
    <row r="17" spans="1:12" ht="15" x14ac:dyDescent="0.25">
      <c r="A17" s="16" t="s">
        <v>56</v>
      </c>
      <c r="B17" s="16">
        <v>0.218</v>
      </c>
      <c r="C17" s="16">
        <v>0.65</v>
      </c>
      <c r="D17" s="16">
        <v>0.5</v>
      </c>
      <c r="E17" s="16">
        <v>2</v>
      </c>
      <c r="H17" s="16" t="s">
        <v>56</v>
      </c>
      <c r="I17" s="16">
        <v>0.218</v>
      </c>
      <c r="J17" s="16">
        <v>0.65</v>
      </c>
      <c r="K17" s="16">
        <v>0.5</v>
      </c>
      <c r="L17" s="16">
        <v>2</v>
      </c>
    </row>
    <row r="18" spans="1:12" ht="15" x14ac:dyDescent="0.25">
      <c r="A18" s="16" t="s">
        <v>57</v>
      </c>
      <c r="B18" s="16">
        <v>0.20899999999999999</v>
      </c>
      <c r="C18" s="16">
        <v>0.65</v>
      </c>
      <c r="D18" s="16">
        <v>0.5</v>
      </c>
      <c r="E18" s="16">
        <v>3</v>
      </c>
      <c r="H18" s="16" t="s">
        <v>57</v>
      </c>
      <c r="I18" s="16">
        <v>0.20899999999999999</v>
      </c>
      <c r="J18" s="16">
        <v>0.65</v>
      </c>
      <c r="K18" s="16">
        <v>0.5</v>
      </c>
      <c r="L18" s="16">
        <v>3</v>
      </c>
    </row>
    <row r="19" spans="1:12" ht="15" x14ac:dyDescent="0.25">
      <c r="A19" s="16" t="s">
        <v>98</v>
      </c>
      <c r="B19" s="16">
        <v>0.20899999999999999</v>
      </c>
      <c r="C19" s="16">
        <v>0.65</v>
      </c>
      <c r="D19" s="16">
        <v>0.5</v>
      </c>
      <c r="E19" s="16">
        <v>5</v>
      </c>
      <c r="H19" s="16" t="s">
        <v>98</v>
      </c>
      <c r="I19" s="16">
        <v>0.20899999999999999</v>
      </c>
      <c r="J19" s="16">
        <v>0.65</v>
      </c>
      <c r="K19" s="16">
        <v>0.5</v>
      </c>
      <c r="L19" s="16">
        <v>5</v>
      </c>
    </row>
    <row r="20" spans="1:12" ht="15" x14ac:dyDescent="0.25">
      <c r="A20" s="16" t="s">
        <v>99</v>
      </c>
      <c r="B20" s="16">
        <v>0.20899999999999999</v>
      </c>
      <c r="C20" s="16">
        <v>0.65</v>
      </c>
      <c r="D20" s="16">
        <v>0.5</v>
      </c>
      <c r="E20" s="16">
        <v>8</v>
      </c>
      <c r="H20" s="16" t="s">
        <v>99</v>
      </c>
      <c r="I20" s="16">
        <v>0.20899999999999999</v>
      </c>
      <c r="J20" s="16">
        <v>0.65</v>
      </c>
      <c r="K20" s="16">
        <v>0.5</v>
      </c>
      <c r="L20" s="16">
        <v>8</v>
      </c>
    </row>
    <row r="21" spans="1:12" ht="15" x14ac:dyDescent="0.25">
      <c r="A21" s="16" t="s">
        <v>100</v>
      </c>
      <c r="B21" s="16">
        <v>0.20899999999999999</v>
      </c>
      <c r="C21" s="16">
        <v>0.65</v>
      </c>
      <c r="D21" s="16">
        <v>0.5</v>
      </c>
      <c r="E21" s="16">
        <v>10</v>
      </c>
      <c r="H21" s="16" t="s">
        <v>100</v>
      </c>
      <c r="I21" s="16">
        <v>0.20899999999999999</v>
      </c>
      <c r="J21" s="16">
        <v>0.65</v>
      </c>
      <c r="K21" s="16">
        <v>0.5</v>
      </c>
      <c r="L21" s="16">
        <v>10</v>
      </c>
    </row>
    <row r="22" spans="1:12" ht="15" x14ac:dyDescent="0.25">
      <c r="A22" s="16" t="s">
        <v>101</v>
      </c>
      <c r="B22" s="16">
        <v>0.20899999999999999</v>
      </c>
      <c r="C22" s="16">
        <v>0.65</v>
      </c>
      <c r="D22" s="16">
        <v>0.5</v>
      </c>
      <c r="E22" s="16">
        <v>11</v>
      </c>
      <c r="H22" s="16" t="s">
        <v>101</v>
      </c>
      <c r="I22" s="16">
        <v>0.20899999999999999</v>
      </c>
      <c r="J22" s="16">
        <v>0.65</v>
      </c>
      <c r="K22" s="16">
        <v>0.5</v>
      </c>
      <c r="L22" s="16">
        <v>11</v>
      </c>
    </row>
    <row r="23" spans="1:12" ht="15" x14ac:dyDescent="0.25">
      <c r="A23" s="16" t="s">
        <v>102</v>
      </c>
      <c r="B23" s="16">
        <v>0.20899999999999999</v>
      </c>
      <c r="C23" s="16">
        <v>0.65</v>
      </c>
      <c r="D23" s="16">
        <v>0.5</v>
      </c>
      <c r="E23" s="16">
        <v>12</v>
      </c>
      <c r="H23" s="16" t="s">
        <v>102</v>
      </c>
      <c r="I23" s="16">
        <v>0.20899999999999999</v>
      </c>
      <c r="J23" s="16">
        <v>0.65</v>
      </c>
      <c r="K23" s="16">
        <v>0.5</v>
      </c>
      <c r="L23" s="16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18"/>
  <sheetViews>
    <sheetView workbookViewId="0">
      <selection activeCell="C18" sqref="C18"/>
    </sheetView>
  </sheetViews>
  <sheetFormatPr defaultRowHeight="12.75" x14ac:dyDescent="0.2"/>
  <cols>
    <col min="1" max="1" width="19.7109375" customWidth="1"/>
    <col min="2" max="3" width="27.7109375" customWidth="1"/>
  </cols>
  <sheetData>
    <row r="1" spans="1:3" ht="22.5" x14ac:dyDescent="0.3">
      <c r="A1" s="2" t="s">
        <v>14</v>
      </c>
    </row>
    <row r="2" spans="1:3" x14ac:dyDescent="0.2">
      <c r="A2" s="3" t="s">
        <v>20</v>
      </c>
      <c r="B2" s="3" t="s">
        <v>21</v>
      </c>
      <c r="C2" s="3" t="s">
        <v>22</v>
      </c>
    </row>
    <row r="3" spans="1:3" ht="15" x14ac:dyDescent="0.25">
      <c r="A3" s="16" t="s">
        <v>40</v>
      </c>
      <c r="B3" s="16" t="s">
        <v>23</v>
      </c>
      <c r="C3" s="16" t="s">
        <v>23</v>
      </c>
    </row>
    <row r="4" spans="1:3" ht="15" x14ac:dyDescent="0.25">
      <c r="A4" s="16" t="s">
        <v>33</v>
      </c>
      <c r="B4" s="16" t="s">
        <v>15</v>
      </c>
      <c r="C4" s="16" t="s">
        <v>15</v>
      </c>
    </row>
    <row r="5" spans="1:3" ht="15" x14ac:dyDescent="0.25">
      <c r="A5" s="16" t="s">
        <v>41</v>
      </c>
      <c r="B5" s="16" t="s">
        <v>24</v>
      </c>
      <c r="C5" s="16" t="s">
        <v>24</v>
      </c>
    </row>
    <row r="6" spans="1:3" ht="15" x14ac:dyDescent="0.25">
      <c r="A6" s="16" t="s">
        <v>34</v>
      </c>
      <c r="B6" s="16" t="s">
        <v>16</v>
      </c>
      <c r="C6" s="16" t="s">
        <v>16</v>
      </c>
    </row>
    <row r="7" spans="1:3" ht="15" x14ac:dyDescent="0.25">
      <c r="A7" s="16" t="s">
        <v>42</v>
      </c>
      <c r="B7" s="16" t="s">
        <v>28</v>
      </c>
      <c r="C7" s="16" t="s">
        <v>28</v>
      </c>
    </row>
    <row r="8" spans="1:3" ht="15" x14ac:dyDescent="0.25">
      <c r="A8" s="16" t="s">
        <v>35</v>
      </c>
      <c r="B8" s="16" t="s">
        <v>19</v>
      </c>
      <c r="C8" s="16" t="s">
        <v>19</v>
      </c>
    </row>
    <row r="9" spans="1:3" ht="15" x14ac:dyDescent="0.25">
      <c r="A9" s="16" t="s">
        <v>43</v>
      </c>
      <c r="B9" s="16" t="s">
        <v>25</v>
      </c>
      <c r="C9" s="16" t="s">
        <v>25</v>
      </c>
    </row>
    <row r="10" spans="1:3" ht="15" x14ac:dyDescent="0.25">
      <c r="A10" s="16" t="s">
        <v>36</v>
      </c>
      <c r="B10" s="16" t="s">
        <v>17</v>
      </c>
      <c r="C10" s="16" t="s">
        <v>17</v>
      </c>
    </row>
    <row r="11" spans="1:3" ht="15" x14ac:dyDescent="0.25">
      <c r="A11" s="16" t="s">
        <v>44</v>
      </c>
      <c r="B11" s="16" t="s">
        <v>29</v>
      </c>
      <c r="C11" s="16" t="s">
        <v>30</v>
      </c>
    </row>
    <row r="12" spans="1:3" ht="15" x14ac:dyDescent="0.25">
      <c r="A12" s="16" t="s">
        <v>37</v>
      </c>
      <c r="B12" s="16" t="s">
        <v>31</v>
      </c>
      <c r="C12" s="16" t="s">
        <v>31</v>
      </c>
    </row>
    <row r="13" spans="1:3" ht="15" x14ac:dyDescent="0.25">
      <c r="A13" s="16" t="s">
        <v>45</v>
      </c>
      <c r="B13" s="16" t="s">
        <v>26</v>
      </c>
      <c r="C13" s="16" t="s">
        <v>26</v>
      </c>
    </row>
    <row r="14" spans="1:3" ht="15" x14ac:dyDescent="0.25">
      <c r="A14" s="16" t="s">
        <v>38</v>
      </c>
      <c r="B14" s="16" t="s">
        <v>18</v>
      </c>
      <c r="C14" s="16" t="s">
        <v>18</v>
      </c>
    </row>
    <row r="15" spans="1:3" ht="15" x14ac:dyDescent="0.25">
      <c r="A15" s="16" t="s">
        <v>46</v>
      </c>
      <c r="B15" s="16" t="s">
        <v>27</v>
      </c>
      <c r="C15" s="16" t="s">
        <v>27</v>
      </c>
    </row>
    <row r="16" spans="1:3" ht="15" x14ac:dyDescent="0.25">
      <c r="A16" s="16" t="s">
        <v>39</v>
      </c>
      <c r="B16" s="16" t="s">
        <v>32</v>
      </c>
      <c r="C16" s="16" t="s">
        <v>32</v>
      </c>
    </row>
    <row r="17" spans="1:3" ht="15" x14ac:dyDescent="0.25">
      <c r="A17" s="16" t="s">
        <v>103</v>
      </c>
      <c r="B17" s="16" t="s">
        <v>96</v>
      </c>
      <c r="C17" s="16" t="s">
        <v>97</v>
      </c>
    </row>
    <row r="18" spans="1:3" ht="15" x14ac:dyDescent="0.25">
      <c r="A18" s="16" t="s">
        <v>104</v>
      </c>
      <c r="B18" s="16" t="s">
        <v>97</v>
      </c>
      <c r="C18" s="16" t="s">
        <v>96</v>
      </c>
    </row>
  </sheetData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5"/>
  <sheetViews>
    <sheetView topLeftCell="A13" workbookViewId="0">
      <selection activeCell="A44" sqref="A44"/>
    </sheetView>
  </sheetViews>
  <sheetFormatPr defaultRowHeight="12.75" x14ac:dyDescent="0.2"/>
  <cols>
    <col min="1" max="1" width="36.42578125" customWidth="1"/>
    <col min="2" max="2" width="19.85546875" customWidth="1"/>
    <col min="3" max="3" width="9.28515625" customWidth="1"/>
    <col min="4" max="4" width="18.85546875" bestFit="1" customWidth="1"/>
    <col min="5" max="5" width="14.7109375" bestFit="1" customWidth="1"/>
    <col min="6" max="6" width="21" customWidth="1"/>
  </cols>
  <sheetData>
    <row r="1" spans="1:6" ht="22.5" x14ac:dyDescent="0.3">
      <c r="A1" s="18" t="s">
        <v>74</v>
      </c>
    </row>
    <row r="2" spans="1:6" x14ac:dyDescent="0.2">
      <c r="A2" s="19" t="s">
        <v>75</v>
      </c>
      <c r="B2" s="19" t="s">
        <v>78</v>
      </c>
      <c r="C2" s="3" t="s">
        <v>95</v>
      </c>
      <c r="D2" s="19" t="s">
        <v>76</v>
      </c>
      <c r="E2" s="19" t="s">
        <v>77</v>
      </c>
      <c r="F2" s="19" t="s">
        <v>79</v>
      </c>
    </row>
    <row r="3" spans="1:6" ht="15" x14ac:dyDescent="0.25">
      <c r="A3" s="17" t="s">
        <v>63</v>
      </c>
      <c r="B3" s="17">
        <v>1</v>
      </c>
      <c r="C3" s="16">
        <v>1</v>
      </c>
      <c r="D3" s="17">
        <v>8.8999999999999996E-2</v>
      </c>
      <c r="E3" s="17">
        <v>0.65</v>
      </c>
      <c r="F3" s="17">
        <v>0.9</v>
      </c>
    </row>
    <row r="4" spans="1:6" ht="15" x14ac:dyDescent="0.25">
      <c r="A4" s="17" t="s">
        <v>62</v>
      </c>
      <c r="B4" s="17">
        <v>1</v>
      </c>
      <c r="C4" s="16">
        <v>1</v>
      </c>
      <c r="D4" s="17">
        <v>8.8999999999999996E-2</v>
      </c>
      <c r="E4" s="17">
        <v>0.65</v>
      </c>
      <c r="F4" s="17">
        <v>1.22</v>
      </c>
    </row>
    <row r="5" spans="1:6" ht="15" x14ac:dyDescent="0.25">
      <c r="A5" s="17" t="s">
        <v>64</v>
      </c>
      <c r="B5" s="17">
        <v>1</v>
      </c>
      <c r="C5" s="16">
        <v>1</v>
      </c>
      <c r="D5" s="17">
        <v>0.124</v>
      </c>
      <c r="E5" s="17">
        <v>0.65</v>
      </c>
      <c r="F5" s="17">
        <v>1.51</v>
      </c>
    </row>
    <row r="6" spans="1:6" ht="15" x14ac:dyDescent="0.25">
      <c r="A6" s="17" t="s">
        <v>65</v>
      </c>
      <c r="B6" s="17">
        <v>1</v>
      </c>
      <c r="C6" s="16">
        <v>1</v>
      </c>
      <c r="D6" s="17">
        <v>0.34</v>
      </c>
      <c r="E6" s="17">
        <v>0.65</v>
      </c>
      <c r="F6" s="17">
        <v>1.91</v>
      </c>
    </row>
    <row r="7" spans="1:6" ht="15" x14ac:dyDescent="0.25">
      <c r="A7" s="17" t="s">
        <v>66</v>
      </c>
      <c r="B7" s="17">
        <v>1</v>
      </c>
      <c r="C7" s="16">
        <v>1</v>
      </c>
      <c r="D7" s="17">
        <v>0.36</v>
      </c>
      <c r="E7" s="17">
        <v>0.65</v>
      </c>
      <c r="F7" s="17">
        <v>2.68</v>
      </c>
    </row>
    <row r="8" spans="1:6" ht="15" x14ac:dyDescent="0.25">
      <c r="A8" s="17" t="s">
        <v>229</v>
      </c>
      <c r="B8" s="17">
        <v>1</v>
      </c>
      <c r="C8" s="16">
        <v>1</v>
      </c>
      <c r="D8" s="17">
        <v>0.315</v>
      </c>
      <c r="E8" s="17">
        <v>0.65</v>
      </c>
      <c r="F8" s="17">
        <v>0.9</v>
      </c>
    </row>
    <row r="9" spans="1:6" ht="15" x14ac:dyDescent="0.25">
      <c r="A9" s="17" t="s">
        <v>228</v>
      </c>
      <c r="B9" s="17">
        <v>1</v>
      </c>
      <c r="C9" s="16">
        <v>1</v>
      </c>
      <c r="D9" s="17">
        <v>0.3</v>
      </c>
      <c r="E9" s="17">
        <v>0.65</v>
      </c>
      <c r="F9" s="17">
        <v>1.22</v>
      </c>
    </row>
    <row r="10" spans="1:6" ht="15" x14ac:dyDescent="0.25">
      <c r="A10" s="17" t="s">
        <v>227</v>
      </c>
      <c r="B10" s="17">
        <v>1</v>
      </c>
      <c r="C10" s="16">
        <v>1</v>
      </c>
      <c r="D10" s="17">
        <v>0.25</v>
      </c>
      <c r="E10" s="17">
        <v>0.65</v>
      </c>
      <c r="F10" s="17">
        <v>1.51</v>
      </c>
    </row>
    <row r="11" spans="1:6" ht="15" x14ac:dyDescent="0.25">
      <c r="A11" s="17" t="s">
        <v>226</v>
      </c>
      <c r="B11" s="17">
        <v>1</v>
      </c>
      <c r="C11" s="16">
        <v>1</v>
      </c>
      <c r="D11" s="17">
        <v>0.34</v>
      </c>
      <c r="E11" s="17">
        <v>0.65</v>
      </c>
      <c r="F11" s="17">
        <v>1.91</v>
      </c>
    </row>
    <row r="12" spans="1:6" ht="15" x14ac:dyDescent="0.25">
      <c r="A12" s="17" t="s">
        <v>234</v>
      </c>
      <c r="B12" s="17">
        <v>1</v>
      </c>
      <c r="C12" s="16">
        <v>1</v>
      </c>
      <c r="D12" s="17">
        <v>0.35</v>
      </c>
      <c r="E12" s="17">
        <v>0.65</v>
      </c>
      <c r="F12" s="17">
        <v>2.68</v>
      </c>
    </row>
    <row r="13" spans="1:6" ht="15" x14ac:dyDescent="0.25">
      <c r="A13" s="17" t="s">
        <v>233</v>
      </c>
      <c r="B13" s="17">
        <v>1</v>
      </c>
      <c r="C13" s="16">
        <v>1</v>
      </c>
      <c r="D13" s="17">
        <v>0.315</v>
      </c>
      <c r="E13" s="17">
        <v>0.65</v>
      </c>
      <c r="F13" s="17">
        <v>0.9</v>
      </c>
    </row>
    <row r="14" spans="1:6" ht="15" x14ac:dyDescent="0.25">
      <c r="A14" s="17" t="s">
        <v>232</v>
      </c>
      <c r="B14" s="17">
        <v>1</v>
      </c>
      <c r="C14" s="16">
        <v>1</v>
      </c>
      <c r="D14" s="17">
        <v>0.3</v>
      </c>
      <c r="E14" s="17">
        <v>0.65</v>
      </c>
      <c r="F14" s="17">
        <v>1.22</v>
      </c>
    </row>
    <row r="15" spans="1:6" ht="15" x14ac:dyDescent="0.25">
      <c r="A15" s="17" t="s">
        <v>231</v>
      </c>
      <c r="B15" s="17">
        <v>1</v>
      </c>
      <c r="C15" s="16">
        <v>1</v>
      </c>
      <c r="D15" s="17">
        <v>0.25</v>
      </c>
      <c r="E15" s="17">
        <v>0.65</v>
      </c>
      <c r="F15" s="17">
        <v>1.51</v>
      </c>
    </row>
    <row r="16" spans="1:6" ht="15" x14ac:dyDescent="0.25">
      <c r="A16" s="17" t="s">
        <v>230</v>
      </c>
      <c r="B16" s="17">
        <v>1</v>
      </c>
      <c r="C16" s="16">
        <v>1</v>
      </c>
      <c r="D16" s="17">
        <v>0.34</v>
      </c>
      <c r="E16" s="17">
        <v>0.65</v>
      </c>
      <c r="F16" s="17">
        <v>1.91</v>
      </c>
    </row>
    <row r="17" spans="1:6" ht="15" x14ac:dyDescent="0.25">
      <c r="A17" s="17" t="s">
        <v>235</v>
      </c>
      <c r="B17" s="17">
        <v>1</v>
      </c>
      <c r="C17" s="16">
        <v>1</v>
      </c>
      <c r="D17" s="17">
        <v>0.35</v>
      </c>
      <c r="E17" s="17">
        <v>0.65</v>
      </c>
      <c r="F17" s="17">
        <v>2.68</v>
      </c>
    </row>
    <row r="18" spans="1:6" ht="15" x14ac:dyDescent="0.25">
      <c r="A18" s="17" t="s">
        <v>67</v>
      </c>
      <c r="B18" s="17">
        <v>1</v>
      </c>
      <c r="C18" s="16">
        <v>1</v>
      </c>
      <c r="D18" s="17">
        <v>8.8999999999999996E-2</v>
      </c>
      <c r="E18" s="17">
        <v>0.65</v>
      </c>
      <c r="F18" s="17">
        <v>0.95</v>
      </c>
    </row>
    <row r="19" spans="1:6" ht="15" x14ac:dyDescent="0.25">
      <c r="A19" s="17" t="s">
        <v>68</v>
      </c>
      <c r="B19" s="17">
        <v>0.5</v>
      </c>
      <c r="C19" s="16">
        <v>1</v>
      </c>
      <c r="D19" s="17">
        <v>0.182</v>
      </c>
      <c r="E19" s="17">
        <v>0.65</v>
      </c>
      <c r="F19" s="17">
        <v>1</v>
      </c>
    </row>
    <row r="20" spans="1:6" ht="15" x14ac:dyDescent="0.25">
      <c r="A20" s="17" t="s">
        <v>69</v>
      </c>
      <c r="B20" s="17">
        <v>0.5</v>
      </c>
      <c r="C20" s="16">
        <v>1</v>
      </c>
      <c r="D20" s="17">
        <v>0.25600000000000001</v>
      </c>
      <c r="E20" s="17">
        <v>0.65</v>
      </c>
      <c r="F20" s="17">
        <v>1.2</v>
      </c>
    </row>
    <row r="21" spans="1:6" ht="15" x14ac:dyDescent="0.25">
      <c r="A21" s="17" t="s">
        <v>70</v>
      </c>
      <c r="B21" s="17">
        <v>0.5</v>
      </c>
      <c r="C21" s="16">
        <v>1</v>
      </c>
      <c r="D21" s="17">
        <v>0.26</v>
      </c>
      <c r="E21" s="17">
        <v>0.65</v>
      </c>
      <c r="F21" s="17">
        <v>1.35</v>
      </c>
    </row>
    <row r="22" spans="1:6" ht="15" x14ac:dyDescent="0.25">
      <c r="A22" s="17" t="s">
        <v>71</v>
      </c>
      <c r="B22" s="17">
        <v>0.5</v>
      </c>
      <c r="C22" s="16">
        <v>1</v>
      </c>
      <c r="D22" s="17">
        <v>0.20599999999999999</v>
      </c>
      <c r="E22" s="17">
        <v>0.65</v>
      </c>
      <c r="F22" s="17">
        <v>1.5</v>
      </c>
    </row>
    <row r="23" spans="1:6" ht="15" x14ac:dyDescent="0.25">
      <c r="A23" s="17" t="s">
        <v>72</v>
      </c>
      <c r="B23" s="17">
        <v>0.5</v>
      </c>
      <c r="C23" s="16">
        <v>1</v>
      </c>
      <c r="D23" s="17">
        <v>0.218</v>
      </c>
      <c r="E23" s="17">
        <v>0.65</v>
      </c>
      <c r="F23" s="17">
        <v>2</v>
      </c>
    </row>
    <row r="24" spans="1:6" ht="15" x14ac:dyDescent="0.25">
      <c r="A24" s="17" t="s">
        <v>73</v>
      </c>
      <c r="B24" s="17">
        <v>0.5</v>
      </c>
      <c r="C24" s="16">
        <v>1</v>
      </c>
      <c r="D24" s="17">
        <v>0.20899999999999999</v>
      </c>
      <c r="E24" s="17">
        <v>0.65</v>
      </c>
      <c r="F24" s="17">
        <v>3</v>
      </c>
    </row>
    <row r="25" spans="1:6" ht="15" x14ac:dyDescent="0.25">
      <c r="A25" s="17" t="s">
        <v>106</v>
      </c>
      <c r="B25" s="17">
        <v>1.5</v>
      </c>
      <c r="C25" s="16">
        <v>1</v>
      </c>
      <c r="D25" s="17">
        <v>0.42</v>
      </c>
      <c r="E25" s="17">
        <v>0.65</v>
      </c>
      <c r="F25" s="17">
        <v>2</v>
      </c>
    </row>
    <row r="26" spans="1:6" ht="15" x14ac:dyDescent="0.25">
      <c r="A26" s="17" t="s">
        <v>106</v>
      </c>
      <c r="B26" s="17">
        <v>1.5</v>
      </c>
      <c r="C26" s="16">
        <v>2</v>
      </c>
      <c r="D26" s="17">
        <v>0.35</v>
      </c>
      <c r="E26" s="17">
        <v>0.65</v>
      </c>
      <c r="F26" s="17">
        <v>2</v>
      </c>
    </row>
    <row r="27" spans="1:6" ht="15" x14ac:dyDescent="0.25">
      <c r="A27" s="17" t="s">
        <v>106</v>
      </c>
      <c r="B27" s="17">
        <v>1.5</v>
      </c>
      <c r="C27" s="16">
        <v>3</v>
      </c>
      <c r="D27" s="17">
        <v>0.28000000000000003</v>
      </c>
      <c r="E27" s="17">
        <v>0.65</v>
      </c>
      <c r="F27" s="17">
        <v>2</v>
      </c>
    </row>
    <row r="28" spans="1:6" ht="15" x14ac:dyDescent="0.25">
      <c r="A28" s="17" t="s">
        <v>106</v>
      </c>
      <c r="B28" s="17">
        <v>1.5</v>
      </c>
      <c r="C28" s="16">
        <v>4</v>
      </c>
      <c r="D28" s="17">
        <v>0.21</v>
      </c>
      <c r="E28" s="17">
        <v>0.65</v>
      </c>
      <c r="F28" s="17">
        <v>2</v>
      </c>
    </row>
    <row r="29" spans="1:6" ht="15" x14ac:dyDescent="0.25">
      <c r="A29" s="17" t="s">
        <v>106</v>
      </c>
      <c r="B29" s="17">
        <v>1.5</v>
      </c>
      <c r="C29" s="16">
        <v>5</v>
      </c>
      <c r="D29" s="17">
        <v>0.14000000000000001</v>
      </c>
      <c r="E29" s="17">
        <v>0.65</v>
      </c>
      <c r="F29" s="17">
        <v>2</v>
      </c>
    </row>
    <row r="30" spans="1:6" ht="15" x14ac:dyDescent="0.25">
      <c r="A30" s="17" t="s">
        <v>86</v>
      </c>
      <c r="B30" s="17">
        <v>1</v>
      </c>
      <c r="C30" s="16">
        <v>1</v>
      </c>
      <c r="D30" s="17">
        <v>0.35</v>
      </c>
      <c r="E30" s="17">
        <v>0.65</v>
      </c>
      <c r="F30" s="17">
        <v>0.5</v>
      </c>
    </row>
    <row r="31" spans="1:6" ht="15" x14ac:dyDescent="0.25">
      <c r="A31" s="17" t="s">
        <v>108</v>
      </c>
      <c r="B31" s="17">
        <v>1.5</v>
      </c>
      <c r="C31" s="16">
        <v>1</v>
      </c>
      <c r="D31" s="17">
        <v>0.42</v>
      </c>
      <c r="E31" s="17">
        <v>0.65</v>
      </c>
      <c r="F31" s="17">
        <v>2</v>
      </c>
    </row>
    <row r="32" spans="1:6" ht="15" x14ac:dyDescent="0.25">
      <c r="A32" s="17" t="s">
        <v>108</v>
      </c>
      <c r="B32" s="17">
        <v>1.5</v>
      </c>
      <c r="C32" s="16">
        <v>2</v>
      </c>
      <c r="D32" s="17">
        <v>0.35</v>
      </c>
      <c r="E32" s="17">
        <v>0.65</v>
      </c>
      <c r="F32" s="17">
        <v>2</v>
      </c>
    </row>
    <row r="33" spans="1:6" ht="15" x14ac:dyDescent="0.25">
      <c r="A33" s="17" t="s">
        <v>108</v>
      </c>
      <c r="B33" s="17">
        <v>1.5</v>
      </c>
      <c r="C33" s="16">
        <v>3</v>
      </c>
      <c r="D33" s="17">
        <v>0.28000000000000003</v>
      </c>
      <c r="E33" s="17">
        <v>0.65</v>
      </c>
      <c r="F33" s="17">
        <v>2</v>
      </c>
    </row>
    <row r="34" spans="1:6" ht="15" x14ac:dyDescent="0.25">
      <c r="A34" s="17" t="s">
        <v>108</v>
      </c>
      <c r="B34" s="17">
        <v>1.5</v>
      </c>
      <c r="C34" s="16">
        <v>4</v>
      </c>
      <c r="D34" s="17">
        <v>0.21</v>
      </c>
      <c r="E34" s="17">
        <v>0.65</v>
      </c>
      <c r="F34" s="17">
        <v>2</v>
      </c>
    </row>
    <row r="35" spans="1:6" ht="15" x14ac:dyDescent="0.25">
      <c r="A35" s="17" t="s">
        <v>108</v>
      </c>
      <c r="B35" s="17">
        <v>1.5</v>
      </c>
      <c r="C35" s="16">
        <v>5</v>
      </c>
      <c r="D35" s="17">
        <v>0.14000000000000001</v>
      </c>
      <c r="E35" s="17">
        <v>0.65</v>
      </c>
      <c r="F35" s="17">
        <v>2</v>
      </c>
    </row>
    <row r="36" spans="1:6" ht="15" x14ac:dyDescent="0.25">
      <c r="A36" s="17" t="s">
        <v>87</v>
      </c>
      <c r="B36" s="17">
        <v>1</v>
      </c>
      <c r="C36" s="16">
        <v>1</v>
      </c>
      <c r="D36" s="17">
        <v>0.35299999999999998</v>
      </c>
      <c r="E36" s="17">
        <v>0.65</v>
      </c>
      <c r="F36" s="17">
        <v>3</v>
      </c>
    </row>
    <row r="37" spans="1:6" ht="15" x14ac:dyDescent="0.25">
      <c r="A37" s="17" t="s">
        <v>87</v>
      </c>
      <c r="B37" s="17">
        <v>4</v>
      </c>
      <c r="C37" s="16">
        <v>1</v>
      </c>
      <c r="D37" s="17">
        <v>0.35399999999999998</v>
      </c>
      <c r="E37" s="17">
        <v>0.65</v>
      </c>
      <c r="F37" s="17">
        <v>3</v>
      </c>
    </row>
    <row r="38" spans="1:6" ht="15" x14ac:dyDescent="0.25">
      <c r="A38" s="17" t="s">
        <v>88</v>
      </c>
      <c r="B38" s="17">
        <v>1</v>
      </c>
      <c r="C38" s="16">
        <v>1</v>
      </c>
      <c r="D38" s="17">
        <v>0.35499999999999998</v>
      </c>
      <c r="E38" s="17">
        <v>0.65</v>
      </c>
      <c r="F38" s="17">
        <v>5</v>
      </c>
    </row>
    <row r="39" spans="1:6" ht="15" x14ac:dyDescent="0.25">
      <c r="A39" s="17" t="s">
        <v>89</v>
      </c>
      <c r="B39" s="17">
        <v>1</v>
      </c>
      <c r="C39" s="16">
        <v>1</v>
      </c>
      <c r="D39" s="17">
        <v>0.35799999999999998</v>
      </c>
      <c r="E39" s="17">
        <v>0.65</v>
      </c>
      <c r="F39" s="17">
        <v>8</v>
      </c>
    </row>
    <row r="40" spans="1:6" ht="15" x14ac:dyDescent="0.25">
      <c r="A40" s="17" t="s">
        <v>90</v>
      </c>
      <c r="B40" s="17">
        <v>1</v>
      </c>
      <c r="C40" s="16">
        <v>1</v>
      </c>
      <c r="D40" s="17">
        <v>0.35</v>
      </c>
      <c r="E40" s="17">
        <v>0.65</v>
      </c>
      <c r="F40" s="17">
        <v>10</v>
      </c>
    </row>
    <row r="41" spans="1:6" ht="15" x14ac:dyDescent="0.25">
      <c r="A41" s="17" t="s">
        <v>107</v>
      </c>
      <c r="B41" s="17">
        <v>1.5</v>
      </c>
      <c r="C41" s="16">
        <v>1</v>
      </c>
      <c r="D41" s="17">
        <v>0.42</v>
      </c>
      <c r="E41" s="17">
        <v>0.65</v>
      </c>
      <c r="F41" s="17">
        <v>2</v>
      </c>
    </row>
    <row r="42" spans="1:6" ht="15" x14ac:dyDescent="0.25">
      <c r="A42" s="17" t="s">
        <v>107</v>
      </c>
      <c r="B42" s="17">
        <v>1.5</v>
      </c>
      <c r="C42" s="16">
        <v>2</v>
      </c>
      <c r="D42" s="17">
        <v>0.35</v>
      </c>
      <c r="E42" s="17">
        <v>0.65</v>
      </c>
      <c r="F42" s="17">
        <v>2</v>
      </c>
    </row>
    <row r="43" spans="1:6" ht="15" x14ac:dyDescent="0.25">
      <c r="A43" s="17" t="s">
        <v>107</v>
      </c>
      <c r="B43" s="17">
        <v>1.5</v>
      </c>
      <c r="C43" s="16">
        <v>3</v>
      </c>
      <c r="D43" s="17">
        <v>0.28000000000000003</v>
      </c>
      <c r="E43" s="17">
        <v>0.65</v>
      </c>
      <c r="F43" s="17">
        <v>2</v>
      </c>
    </row>
    <row r="44" spans="1:6" ht="15" x14ac:dyDescent="0.25">
      <c r="A44" s="17" t="s">
        <v>107</v>
      </c>
      <c r="B44" s="17">
        <v>1.5</v>
      </c>
      <c r="C44" s="16">
        <v>4</v>
      </c>
      <c r="D44" s="17">
        <v>0.21</v>
      </c>
      <c r="E44" s="17">
        <v>0.65</v>
      </c>
      <c r="F44" s="17">
        <v>2</v>
      </c>
    </row>
    <row r="45" spans="1:6" ht="15" x14ac:dyDescent="0.25">
      <c r="A45" s="17" t="s">
        <v>107</v>
      </c>
      <c r="B45" s="17">
        <v>1.5</v>
      </c>
      <c r="C45" s="16">
        <v>5</v>
      </c>
      <c r="D45" s="17">
        <v>0.14000000000000001</v>
      </c>
      <c r="E45" s="17">
        <v>0.65</v>
      </c>
      <c r="F45" s="17">
        <v>2</v>
      </c>
    </row>
    <row r="46" spans="1:6" ht="15" x14ac:dyDescent="0.25">
      <c r="A46" s="17" t="s">
        <v>105</v>
      </c>
      <c r="B46" s="17">
        <v>1</v>
      </c>
      <c r="C46" s="16">
        <v>1</v>
      </c>
      <c r="D46" s="17">
        <v>0.74</v>
      </c>
      <c r="E46" s="17">
        <v>0.65</v>
      </c>
      <c r="F46" s="17">
        <v>2</v>
      </c>
    </row>
    <row r="47" spans="1:6" ht="15" x14ac:dyDescent="0.25">
      <c r="A47" s="17" t="s">
        <v>105</v>
      </c>
      <c r="B47" s="17">
        <v>1.5</v>
      </c>
      <c r="C47" s="16">
        <v>1</v>
      </c>
      <c r="D47" s="17">
        <v>0.75</v>
      </c>
      <c r="E47" s="17">
        <v>0.65</v>
      </c>
      <c r="F47" s="17">
        <v>2</v>
      </c>
    </row>
    <row r="48" spans="1:6" ht="15" x14ac:dyDescent="0.25">
      <c r="A48" s="17" t="s">
        <v>105</v>
      </c>
      <c r="B48" s="17">
        <v>1</v>
      </c>
      <c r="C48" s="16">
        <v>2</v>
      </c>
      <c r="D48" s="17">
        <v>0.61499999999999999</v>
      </c>
      <c r="E48" s="17">
        <v>0.65</v>
      </c>
      <c r="F48" s="17">
        <v>2</v>
      </c>
    </row>
    <row r="49" spans="1:6" ht="15" x14ac:dyDescent="0.25">
      <c r="A49" s="17" t="s">
        <v>105</v>
      </c>
      <c r="B49" s="17">
        <v>1</v>
      </c>
      <c r="C49" s="16">
        <v>3</v>
      </c>
      <c r="D49" s="17">
        <v>0.49</v>
      </c>
      <c r="E49" s="17">
        <v>0.65</v>
      </c>
      <c r="F49" s="17">
        <v>2</v>
      </c>
    </row>
    <row r="50" spans="1:6" ht="15" x14ac:dyDescent="0.25">
      <c r="A50" s="17" t="s">
        <v>105</v>
      </c>
      <c r="B50" s="17">
        <v>1</v>
      </c>
      <c r="C50" s="16">
        <v>4</v>
      </c>
      <c r="D50" s="17">
        <v>0.36499999999999999</v>
      </c>
      <c r="E50" s="17">
        <v>0.65</v>
      </c>
      <c r="F50" s="17">
        <v>2</v>
      </c>
    </row>
    <row r="51" spans="1:6" ht="15" x14ac:dyDescent="0.25">
      <c r="A51" s="17" t="s">
        <v>105</v>
      </c>
      <c r="B51" s="17">
        <v>1</v>
      </c>
      <c r="C51" s="16">
        <v>5</v>
      </c>
      <c r="D51" s="17">
        <v>0.24</v>
      </c>
      <c r="E51" s="17">
        <v>0.65</v>
      </c>
      <c r="F51" s="17">
        <v>2</v>
      </c>
    </row>
    <row r="52" spans="1:6" ht="15" x14ac:dyDescent="0.25">
      <c r="A52" s="17" t="s">
        <v>91</v>
      </c>
      <c r="B52" s="17">
        <v>1</v>
      </c>
      <c r="C52" s="16">
        <v>1</v>
      </c>
      <c r="D52" s="17">
        <v>0.253</v>
      </c>
      <c r="E52" s="17">
        <v>0.65</v>
      </c>
      <c r="F52" s="17">
        <v>3</v>
      </c>
    </row>
    <row r="53" spans="1:6" ht="15" x14ac:dyDescent="0.25">
      <c r="A53" s="17" t="s">
        <v>92</v>
      </c>
      <c r="B53" s="17">
        <v>1</v>
      </c>
      <c r="C53" s="16">
        <v>1</v>
      </c>
      <c r="D53" s="17">
        <v>0.255</v>
      </c>
      <c r="E53" s="17">
        <v>0.65</v>
      </c>
      <c r="F53" s="17">
        <v>5</v>
      </c>
    </row>
    <row r="54" spans="1:6" ht="15" x14ac:dyDescent="0.25">
      <c r="A54" s="17" t="s">
        <v>93</v>
      </c>
      <c r="B54" s="17">
        <v>1</v>
      </c>
      <c r="C54" s="16">
        <v>1</v>
      </c>
      <c r="D54" s="17">
        <v>0.25800000000000001</v>
      </c>
      <c r="E54" s="17">
        <v>0.65</v>
      </c>
      <c r="F54" s="17">
        <v>8</v>
      </c>
    </row>
    <row r="55" spans="1:6" ht="15" x14ac:dyDescent="0.25">
      <c r="A55" s="17" t="s">
        <v>94</v>
      </c>
      <c r="B55" s="17">
        <v>1</v>
      </c>
      <c r="C55" s="16">
        <v>1</v>
      </c>
      <c r="D55" s="17">
        <v>0.25</v>
      </c>
      <c r="E55" s="17">
        <v>0.65</v>
      </c>
      <c r="F55" s="17"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43</vt:i4>
      </vt:variant>
    </vt:vector>
  </HeadingPairs>
  <TitlesOfParts>
    <vt:vector size="51" baseType="lpstr">
      <vt:lpstr>Project Info</vt:lpstr>
      <vt:lpstr>Hood Quality</vt:lpstr>
      <vt:lpstr>KVE WW or UV Stock Parts</vt:lpstr>
      <vt:lpstr>CM HOOD STD PARTS</vt:lpstr>
      <vt:lpstr>Change K Factors</vt:lpstr>
      <vt:lpstr>Change K Factors Material Data</vt:lpstr>
      <vt:lpstr>Set Material Name</vt:lpstr>
      <vt:lpstr>Change Material K Factors</vt:lpstr>
      <vt:lpstr>CheckBacthPrintWithBOM</vt:lpstr>
      <vt:lpstr>CheckIncludeFlat</vt:lpstr>
      <vt:lpstr>CheckInitialize</vt:lpstr>
      <vt:lpstr>CKBxDXF</vt:lpstr>
      <vt:lpstr>CkBxEdrw</vt:lpstr>
      <vt:lpstr>CKBxJPG</vt:lpstr>
      <vt:lpstr>CkBxPDF</vt:lpstr>
      <vt:lpstr>ComboBoxPaperSize</vt:lpstr>
      <vt:lpstr>ComboBoxProjectAngle</vt:lpstr>
      <vt:lpstr>ComboBoxUnit</vt:lpstr>
      <vt:lpstr>ComboBoxUnitSystem</vt:lpstr>
      <vt:lpstr>ComboExcelSheetName</vt:lpstr>
      <vt:lpstr>ComPrinter</vt:lpstr>
      <vt:lpstr>OptionAssembly</vt:lpstr>
      <vt:lpstr>OptionInPathName</vt:lpstr>
      <vt:lpstr>OptionOneFile</vt:lpstr>
      <vt:lpstr>OptionOpenInWindwos</vt:lpstr>
      <vt:lpstr>OptionPlumbing</vt:lpstr>
      <vt:lpstr>'CM HOOD STD PARTS'!Print_Area</vt:lpstr>
      <vt:lpstr>'Hood Quality'!Print_Area</vt:lpstr>
      <vt:lpstr>'KVE WW or UV Stock Parts'!Print_Area</vt:lpstr>
      <vt:lpstr>'Project Info'!Print_Area</vt:lpstr>
      <vt:lpstr>'Project Info'!Print_Titles</vt:lpstr>
      <vt:lpstr>TextBranchLocation</vt:lpstr>
      <vt:lpstr>TextBy</vt:lpstr>
      <vt:lpstr>TextCheckedBy</vt:lpstr>
      <vt:lpstr>TextCheckList</vt:lpstr>
      <vt:lpstr>'KVE WW or UV Stock Parts'!TextCode</vt:lpstr>
      <vt:lpstr>TextCode</vt:lpstr>
      <vt:lpstr>TextDate</vt:lpstr>
      <vt:lpstr>TextDxfScale</vt:lpstr>
      <vt:lpstr>TextInPathName</vt:lpstr>
      <vt:lpstr>'KVE WW or UV Stock Parts'!TextJobName</vt:lpstr>
      <vt:lpstr>TextJobName</vt:lpstr>
      <vt:lpstr>TextModel</vt:lpstr>
      <vt:lpstr>TextNote</vt:lpstr>
      <vt:lpstr>TextOtherBOMAddress</vt:lpstr>
      <vt:lpstr>TextOutPath</vt:lpstr>
      <vt:lpstr>TextQTY</vt:lpstr>
      <vt:lpstr>TextRootAddress</vt:lpstr>
      <vt:lpstr>TextSerialNo</vt:lpstr>
      <vt:lpstr>TextShipDate</vt:lpstr>
      <vt:lpstr>TextSSSeries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sheet metal shear list file</dc:title>
  <dc:subject>all the project for halton</dc:subject>
  <dc:creator>Justin Luo</dc:creator>
  <cp:lastModifiedBy>Mujeeb Olodo</cp:lastModifiedBy>
  <cp:lastPrinted>2024-06-14T15:14:17Z</cp:lastPrinted>
  <dcterms:created xsi:type="dcterms:W3CDTF">2001-06-08T13:07:09Z</dcterms:created>
  <dcterms:modified xsi:type="dcterms:W3CDTF">2025-08-25T18:59:12Z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wner">
    <vt:lpwstr>Justin Luo</vt:lpwstr>
  </property>
  <property fmtid="{D5CDD505-2E9C-101B-9397-08002B2CF9AE}" pid="3" name="Date Completed">
    <vt:lpwstr>6/10/2007</vt:lpwstr>
  </property>
</Properties>
</file>