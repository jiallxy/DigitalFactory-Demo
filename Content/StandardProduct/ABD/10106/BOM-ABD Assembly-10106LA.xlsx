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lodo\Documents\SolidworksTemplates-Addin\Macros\"/>
    </mc:Choice>
  </mc:AlternateContent>
  <xr:revisionPtr revIDLastSave="0" documentId="13_ncr:1_{4FD46B66-1032-48FB-99C0-FD9519350AB1}" xr6:coauthVersionLast="47" xr6:coauthVersionMax="47" xr10:uidLastSave="{00000000-0000-0000-0000-000000000000}"/>
  <bookViews>
    <workbookView xWindow="32730" yWindow="2970" windowWidth="21495" windowHeight="1287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Info'!$B$4:$H$27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C27" i="1"/>
  <c r="D26" i="1"/>
  <c r="C26" i="1"/>
  <c r="B26" i="1"/>
  <c r="Q23" i="1"/>
  <c r="P23" i="1"/>
  <c r="F23" i="1"/>
  <c r="J23" i="1" s="1"/>
  <c r="Q22" i="1"/>
  <c r="P22" i="1"/>
  <c r="F22" i="1"/>
  <c r="I22" i="1" s="1"/>
  <c r="Q21" i="1"/>
  <c r="P21" i="1"/>
  <c r="F21" i="1"/>
  <c r="J21" i="1" s="1"/>
  <c r="Q20" i="1"/>
  <c r="P20" i="1"/>
  <c r="F20" i="1"/>
  <c r="I20" i="1" s="1"/>
  <c r="Q19" i="1"/>
  <c r="P19" i="1"/>
  <c r="F19" i="1"/>
  <c r="I19" i="1" s="1"/>
  <c r="Q18" i="1"/>
  <c r="P18" i="1"/>
  <c r="F18" i="1"/>
  <c r="I18" i="1" s="1"/>
  <c r="Q17" i="1"/>
  <c r="P17" i="1"/>
  <c r="F17" i="1"/>
  <c r="I17" i="1" s="1"/>
  <c r="Q16" i="1"/>
  <c r="P16" i="1"/>
  <c r="F16" i="1"/>
  <c r="I16" i="1" s="1"/>
  <c r="Q15" i="1"/>
  <c r="P15" i="1"/>
  <c r="F15" i="1"/>
  <c r="J15" i="1" s="1"/>
  <c r="F4" i="9"/>
  <c r="M5" i="9"/>
  <c r="F6" i="9"/>
  <c r="F5" i="9"/>
  <c r="Q2" i="1"/>
  <c r="S2" i="1"/>
  <c r="R2" i="1"/>
  <c r="J19" i="1" l="1"/>
  <c r="I21" i="1"/>
  <c r="J16" i="1"/>
  <c r="J22" i="1"/>
  <c r="J20" i="1"/>
  <c r="I23" i="1"/>
  <c r="I15" i="1"/>
  <c r="J17" i="1"/>
  <c r="J18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<sst xmlns="http://schemas.openxmlformats.org/spreadsheetml/2006/main" count="565" uniqueCount="353">
  <si>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</si>
  <si>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</si>
  <si>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</si>
  <si>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</si>
  <si>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</si>
  <si>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</si>
  <si>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</si>
  <si>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</si>
  <si>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</si>
  <si>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</si>
  <si>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</si>
  <si>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</si>
  <si>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</si>
  <si>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</si>
  <si>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</si>
  <si>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</si>
  <si>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</si>
  <si>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</si>
  <si>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</si>
  <si>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</si>
  <si>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</si>
  <si>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</si>
  <si>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</si>
  <si>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</si>
  <si>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</si>
  <si>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</si>
  <si>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</si>
  <si>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</si>
  <si>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</si>
  <si>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</si>
  <si>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</si>
  <si>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</si>
  <si>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</si>
  <si>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</si>
  <si>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</si>
  <si>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</si>
  <si>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</si>
  <si>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</si>
  <si>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</si>
  <si>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</si>
  <si>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</si>
  <si>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</si>
  <si>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</si>
  <si>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</si>
  <si>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</si>
  <si>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</si>
  <si>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</si>
  <si>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</si>
  <si>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</si>
  <si>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</si>
  <si>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</si>
  <si>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</si>
  <si>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</si>
  <si>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</si>
  <si>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</si>
  <si>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</si>
  <si>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</si>
  <si>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</si>
  <si>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</si>
  <si>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</si>
  <si>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</si>
  <si>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</si>
  <si>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</si>
  <si>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</si>
  <si>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</si>
  <si>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</si>
  <si>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</si>
  <si>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</si>
  <si>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</si>
  <si>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</si>
  <si>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</si>
  <si>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</si>
  <si>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</si>
  <si>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</si>
  <si>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</si>
  <si>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</si>
  <si>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</si>
  <si>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</si>
  <si>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</si>
  <si>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</si>
  <si>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</si>
  <si>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</si>
  <si>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</si>
  <si>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</si>
  <si>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</si>
  <si>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</si>
  <si>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</si>
  <si>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</si>
  <si>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</si>
  <si>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</si>
  <si>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</si>
  <si>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</si>
  <si>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</si>
  <si>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</si>
  <si>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</si>
  <si>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</si>
  <si>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</si>
  <si>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</si>
  <si>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</si>
  <si>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</si>
  <si>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</si>
  <si>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</si>
  <si>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</si>
  <si>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</si>
  <si>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</si>
  <si>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</si>
  <si>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</si>
  <si>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</si>
  <si>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</si>
  <si>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</si>
  <si>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</si>
  <si>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</si>
  <si>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</si>
  <si>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</si>
  <si>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</si>
  <si>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</si>
  <si>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</si>
  <si>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</si>
  <si>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</si>
  <si>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</si>
  <si>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</si>
  <si>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</si>
  <si>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</si>
  <si>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</si>
  <si>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</si>
  <si>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</si>
  <si>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</si>
  <si>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</si>
  <si>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</si>
  <si>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</si>
  <si>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</si>
  <si>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</si>
  <si>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</si>
  <si>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</si>
  <si>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</si>
  <si>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</si>
  <si>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</si>
  <si>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</si>
  <si>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</si>
  <si>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</si>
  <si>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</si>
  <si>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</si>
  <si>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</si>
  <si>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</si>
  <si>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</si>
  <si>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</si>
  <si>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</si>
  <si>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</si>
  <si>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</si>
  <si>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</si>
  <si>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</si>
  <si>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</si>
  <si>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</si>
  <si>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</si>
  <si>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</si>
  <si>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</si>
  <si>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</si>
  <si>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</si>
  <si>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</si>
  <si>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</si>
  <si>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</si>
  <si>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</si>
  <si>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</si>
  <si>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</si>
  <si>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</si>
  <si>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</si>
  <si>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</si>
  <si>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</si>
  <si>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</si>
  <si>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</si>
  <si>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</si>
  <si>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</si>
  <si>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</si>
  <si>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</si>
  <si>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</si>
  <si>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</si>
  <si>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</si>
  <si>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</si>
  <si>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</si>
  <si>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</si>
  <si>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</si>
  <si>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</si>
  <si>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</si>
  <si>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</si>
  <si>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</si>
  <si>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</si>
  <si>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</si>
  <si>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</si>
  <si>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</si>
  <si>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</si>
  <si>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</si>
  <si>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</si>
  <si>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</si>
  <si>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</si>
  <si>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</si>
  <si>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</si>
  <si>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</si>
  <si>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</si>
  <si>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</si>
  <si>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</si>
  <si>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</si>
  <si>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</si>
  <si>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</si>
  <si>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</si>
  <si>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</si>
  <si>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</si>
  <si>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</si>
  <si>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</si>
  <si>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</si>
  <si>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</si>
  <si>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</si>
  <si>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</si>
  <si>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</si>
  <si>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</si>
  <si>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</si>
  <si>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</si>
  <si>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</si>
  <si>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</si>
  <si>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</si>
  <si>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</si>
  <si>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</si>
  <si>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</si>
  <si>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</si>
  <si>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</si>
  <si>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</si>
  <si>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</si>
  <si>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</si>
  <si>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</si>
  <si>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</si>
  <si>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</si>
  <si>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</si>
  <si>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</si>
  <si>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</si>
  <si>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</si>
  <si>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</si>
  <si>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</si>
  <si>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</si>
  <si>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</si>
  <si>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</si>
  <si>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</si>
  <si>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</si>
  <si>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</si>
  <si>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</si>
  <si>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</si>
  <si>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</si>
  <si>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</si>
  <si>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</si>
  <si>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</si>
  <si>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</si>
  <si>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</si>
  <si>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</si>
  <si>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</si>
  <si>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</si>
  <si>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</si>
  <si>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</si>
  <si>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</si>
  <si>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</si>
  <si>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</si>
  <si>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</si>
  <si>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</si>
  <si>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</si>
  <si>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</si>
  <si>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</si>
  <si>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</si>
  <si>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</si>
  <si>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</si>
  <si>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</si>
  <si>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</si>
  <si>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</si>
  <si>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</si>
  <si>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</si>
  <si>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</si>
  <si>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</si>
  <si>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</si>
  <si>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</si>
  <si>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</si>
  <si>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</si>
  <si>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</si>
  <si>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</si>
  <si>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</si>
  <si>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</si>
  <si>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</si>
  <si>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</si>
  <si>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</si>
  <si>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</si>
  <si>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</si>
  <si>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</si>
  <si>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</si>
  <si>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</si>
  <si>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</si>
  <si>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</si>
  <si>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</si>
  <si>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</si>
  <si>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</si>
  <si>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</si>
  <si>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</si>
  <si>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</si>
  <si>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</si>
  <si>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</si>
  <si>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</si>
  <si>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</si>
  <si>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</si>
  <si>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</si>
  <si>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</si>
  <si>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</si>
  <si>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</si>
  <si>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</si>
  <si>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</si>
  <si>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</si>
  <si>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</si>
  <si>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</si>
  <si>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</si>
  <si>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</si>
  <si>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</si>
  <si>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</si>
  <si>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</si>
  <si>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</si>
  <si>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</si>
  <si>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</si>
  <si>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</si>
  <si>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</si>
  <si>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</si>
  <si>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</si>
  <si>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/>
  </si>
  <si>
    <t>KONICA MINOLTA Universal V4 PCL</t>
  </si>
  <si>
    <t>1</t>
  </si>
  <si>
    <t>mm</t>
  </si>
  <si>
    <t>First Angle Projection</t>
  </si>
  <si>
    <t>Standard Product</t>
  </si>
  <si>
    <t>K:\DigitalFactory\</t>
  </si>
  <si>
    <t>2025-04-04</t>
  </si>
  <si>
    <t>K:\DigitalFactory\Content\StandardProduct\ABD\10106</t>
  </si>
  <si>
    <t>ABD</t>
  </si>
  <si>
    <t>Mujeeb</t>
  </si>
  <si>
    <t>ABD Front</t>
  </si>
  <si>
    <t>53280RX-106AL</t>
  </si>
  <si>
    <t>ABD Back</t>
  </si>
  <si>
    <t>53280SX-106</t>
  </si>
  <si>
    <t>ABD Damper shaft Linkage</t>
  </si>
  <si>
    <t>53283BX</t>
  </si>
  <si>
    <t>DAMPER Straight Linkage</t>
  </si>
  <si>
    <t>53285JX</t>
  </si>
  <si>
    <t>ABD COVER PLUS 10</t>
  </si>
  <si>
    <t>53286PX-10L</t>
  </si>
  <si>
    <t>Vane Bracket</t>
  </si>
  <si>
    <t>53288AX-10</t>
  </si>
  <si>
    <t>ABD Right</t>
  </si>
  <si>
    <t>ABD LEFT</t>
  </si>
  <si>
    <t>54102SX-106</t>
  </si>
  <si>
    <t>Damper Blade</t>
  </si>
  <si>
    <t>54103BX-10106</t>
  </si>
  <si>
    <t>ABD Assembly-10106LA</t>
  </si>
  <si>
    <t>54102BX-106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</si>
</sst>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53288AX-10.pdf" TargetMode="External"/><Relationship Id="rId3" Type="http://schemas.openxmlformats.org/officeDocument/2006/relationships/hyperlink" Target="53280RX-106AL.pdf" TargetMode="External"/><Relationship Id="rId7" Type="http://schemas.openxmlformats.org/officeDocument/2006/relationships/hyperlink" Target="53286PX-10L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ABD%20Assembly-10106LA.EASM" TargetMode="External"/><Relationship Id="rId1" Type="http://schemas.openxmlformats.org/officeDocument/2006/relationships/hyperlink" Target="ABD%20Assembly-10106LA.pdf" TargetMode="External"/><Relationship Id="rId6" Type="http://schemas.openxmlformats.org/officeDocument/2006/relationships/hyperlink" Target="53285JX.pdf" TargetMode="External"/><Relationship Id="rId11" Type="http://schemas.openxmlformats.org/officeDocument/2006/relationships/hyperlink" Target="54103BX-10106.pdf" TargetMode="External"/><Relationship Id="rId5" Type="http://schemas.openxmlformats.org/officeDocument/2006/relationships/hyperlink" Target="53283BX.pdf" TargetMode="External"/><Relationship Id="rId10" Type="http://schemas.openxmlformats.org/officeDocument/2006/relationships/hyperlink" Target="54102SX-106.pdf" TargetMode="External"/><Relationship Id="rId4" Type="http://schemas.openxmlformats.org/officeDocument/2006/relationships/hyperlink" Target="53280SX-106.pdf" TargetMode="External"/><Relationship Id="rId9" Type="http://schemas.openxmlformats.org/officeDocument/2006/relationships/hyperlink" Target="54102BX-10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"/>
  <sheetViews>
    <sheetView tabSelected="1" topLeftCell="B3" zoomScale="115" zoomScaleNormal="115" workbookViewId="0">
      <selection activeCell="B4" sqref="B4:H27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3.85546875" bestFit="1" customWidth="1"/>
    <col min="6" max="6" width="5.42578125" bestFit="1" customWidth="1"/>
    <col min="7" max="7" width="10" customWidth="1"/>
    <col min="8" max="8" width="14.285156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2" hidden="1" x14ac:dyDescent="0.2">
      <c r="B1" s="62" t="s">
        <v>325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316</v>
      </c>
      <c r="T1" s="107" t="str">
        <f>LEFT(TextJobName,(Q2-(R2-S2)))</f>
        <v>Standard Product</v>
      </c>
    </row>
    <row r="2" spans="1:22" ht="36.75" hidden="1" customHeight="1" x14ac:dyDescent="0.2">
      <c r="B2" s="1" t="s">
        <v>283</v>
      </c>
      <c r="C2" s="1" t="s">
        <v>286</v>
      </c>
      <c r="D2" s="1"/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326</v>
      </c>
      <c r="L2" s="1"/>
      <c r="M2" s="1" t="s">
        <v>324</v>
      </c>
      <c r="N2" s="1" t="s">
        <v>285</v>
      </c>
      <c r="O2" s="1"/>
      <c r="Q2" s="107">
        <f>LEN(TextJobName)</f>
        <v>16</v>
      </c>
      <c r="R2" s="107">
        <f>LEN(TextSerialNo)</f>
        <v>0</v>
      </c>
      <c r="S2" s="107">
        <f>LEN(TextCode)</f>
        <v>0</v>
      </c>
      <c r="T2" s="107">
        <f>LEN(T1)</f>
        <v>16</v>
      </c>
      <c r="V2" t="s">
        <v>329</v>
      </c>
    </row>
    <row r="3" spans="1:22" x14ac:dyDescent="0.2">
      <c r="A3" s="118"/>
      <c r="B3" s="118"/>
      <c r="C3" s="118"/>
      <c r="D3" s="118"/>
      <c r="E3" s="118"/>
      <c r="F3" s="118"/>
      <c r="G3" s="118"/>
      <c r="H3" s="118"/>
    </row>
    <row r="4" spans="1:22" ht="18" x14ac:dyDescent="0.25">
      <c r="A4" s="118"/>
      <c r="B4" s="4" t="s">
        <v>0</v>
      </c>
      <c r="C4" s="9" t="s">
        <v>328</v>
      </c>
      <c r="D4" s="14"/>
      <c r="E4" s="14"/>
      <c r="F4" s="14"/>
      <c r="G4" s="47"/>
      <c r="H4" s="48"/>
      <c r="I4" t="s">
        <v>292</v>
      </c>
      <c r="J4" s="65" t="s">
        <v>298</v>
      </c>
      <c r="O4" s="107"/>
    </row>
    <row r="5" spans="1:22" ht="18" x14ac:dyDescent="0.25">
      <c r="A5" s="118"/>
      <c r="B5" s="4" t="s">
        <v>58</v>
      </c>
      <c r="C5" s="8" t="s">
        <v>333</v>
      </c>
      <c r="D5" s="14"/>
      <c r="E5" s="14"/>
      <c r="F5" s="46" t="s">
        <v>290</v>
      </c>
      <c r="G5" s="45"/>
      <c r="H5" s="50" t="s">
        <v>351</v>
      </c>
      <c r="I5" t="s">
        <v>289</v>
      </c>
      <c r="J5" s="64" t="s">
        <v>351</v>
      </c>
    </row>
    <row r="6" spans="1:22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2" x14ac:dyDescent="0.2">
      <c r="A7" s="118"/>
      <c r="B7" s="4" t="s">
        <v>2</v>
      </c>
      <c r="C7" s="6" t="s">
        <v>332</v>
      </c>
      <c r="D7" s="14"/>
      <c r="E7" s="15"/>
      <c r="F7" s="4" t="s">
        <v>3</v>
      </c>
      <c r="G7" s="10" t="s">
        <v>330</v>
      </c>
      <c r="H7" s="15"/>
    </row>
    <row r="8" spans="1:22" ht="12.75" hidden="1" customHeight="1" x14ac:dyDescent="0.2">
      <c r="A8" s="118"/>
      <c r="B8" s="1"/>
    </row>
    <row r="9" spans="1:22" ht="12.75" hidden="1" customHeight="1" x14ac:dyDescent="0.2">
      <c r="A9" s="118"/>
      <c r="B9" s="4" t="s">
        <v>4</v>
      </c>
      <c r="C9" t="s">
        <v>112</v>
      </c>
    </row>
    <row r="10" spans="1:22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323</v>
      </c>
      <c r="H10" s="15"/>
    </row>
    <row r="11" spans="1:22" x14ac:dyDescent="0.2">
      <c r="A11" s="118"/>
      <c r="B11" s="121" t="s">
        <v>323</v>
      </c>
      <c r="C11" s="122"/>
      <c r="D11" s="122"/>
      <c r="E11" s="122"/>
      <c r="F11" s="122"/>
      <c r="G11" s="122"/>
      <c r="H11" s="123"/>
    </row>
    <row r="12" spans="1:22" x14ac:dyDescent="0.2">
      <c r="A12" s="118"/>
      <c r="B12" s="124"/>
      <c r="C12" s="125"/>
      <c r="D12" s="125"/>
      <c r="E12" s="125"/>
      <c r="F12" s="125"/>
      <c r="G12" s="125"/>
      <c r="H12" s="126"/>
    </row>
    <row r="13" spans="1:22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2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13" t="s">
        <v>12</v>
      </c>
      <c r="H14" s="7" t="s">
        <v>10</v>
      </c>
      <c r="I14" s="11" t="s">
        <v>110</v>
      </c>
      <c r="J14" s="11" t="s">
        <v>111</v>
      </c>
      <c r="K14" s="11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2" outlineLevel="2" x14ac:dyDescent="0.2">
      <c r="B15" s="11" t="s">
        <v>62</v>
      </c>
      <c r="C15" s="11">
        <v>11.754</v>
      </c>
      <c r="D15" s="11">
        <v>7.734</v>
      </c>
      <c r="E15" s="11" t="s">
        <v>334</v>
      </c>
      <c r="F15" s="11">
        <f>O15*TextQTY</f>
        <v>1</v>
      </c>
      <c r="G15" s="11"/>
      <c r="H15" s="116" t="s">
        <v>335</v>
      </c>
      <c r="I15" s="11">
        <f>K15*F15</f>
        <v>1.27</v>
      </c>
      <c r="J15" s="11">
        <f>C15*D15*F15/144</f>
        <v>0.63128774999999993</v>
      </c>
      <c r="K15" s="11">
        <v>1.27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2" outlineLevel="2" x14ac:dyDescent="0.2">
      <c r="B16" s="11" t="s">
        <v>62</v>
      </c>
      <c r="C16" s="11">
        <v>11.754</v>
      </c>
      <c r="D16" s="11">
        <v>7.734</v>
      </c>
      <c r="E16" s="11" t="s">
        <v>336</v>
      </c>
      <c r="F16" s="11">
        <f>O16*TextQTY</f>
        <v>1</v>
      </c>
      <c r="G16" s="11"/>
      <c r="H16" s="116" t="s">
        <v>337</v>
      </c>
      <c r="I16" s="11">
        <f>K16*F16</f>
        <v>1.27</v>
      </c>
      <c r="J16" s="11">
        <f>C16*D16*F16/144</f>
        <v>0.63128774999999993</v>
      </c>
      <c r="K16" s="11">
        <v>1.27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1" t="s">
        <v>62</v>
      </c>
      <c r="C17" s="11">
        <v>1.024</v>
      </c>
      <c r="D17" s="11">
        <v>1.772</v>
      </c>
      <c r="E17" s="11" t="s">
        <v>338</v>
      </c>
      <c r="F17" s="11">
        <f>O17*TextQTY</f>
        <v>2</v>
      </c>
      <c r="G17" s="11"/>
      <c r="H17" s="116" t="s">
        <v>339</v>
      </c>
      <c r="I17" s="11">
        <f>K17*F17</f>
        <v>0.06</v>
      </c>
      <c r="J17" s="11">
        <f>C17*D17*F17/144</f>
        <v>2.5201777777777781E-2</v>
      </c>
      <c r="K17" s="11">
        <v>0.03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4.7240000000000002</v>
      </c>
      <c r="D18" s="11">
        <v>0.748</v>
      </c>
      <c r="E18" s="11" t="s">
        <v>340</v>
      </c>
      <c r="F18" s="11">
        <f>O18*TextQTY</f>
        <v>1</v>
      </c>
      <c r="G18" s="11"/>
      <c r="H18" s="116" t="s">
        <v>341</v>
      </c>
      <c r="I18" s="11">
        <f>K18*F18</f>
        <v>0.05</v>
      </c>
      <c r="J18" s="11">
        <f>C18*D18*F18/144</f>
        <v>2.4538555555555557E-2</v>
      </c>
      <c r="K18" s="11">
        <v>0.05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15.145</v>
      </c>
      <c r="D19" s="11">
        <v>7.24</v>
      </c>
      <c r="E19" s="11" t="s">
        <v>342</v>
      </c>
      <c r="F19" s="11">
        <f>O19*TextQTY</f>
        <v>1</v>
      </c>
      <c r="G19" s="11"/>
      <c r="H19" s="116" t="s">
        <v>343</v>
      </c>
      <c r="I19" s="11">
        <f>K19*F19</f>
        <v>1.54</v>
      </c>
      <c r="J19" s="11">
        <f>C19*D19*F19/144</f>
        <v>0.76145694444444445</v>
      </c>
      <c r="K19" s="11">
        <v>1.54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2.3620000000000001</v>
      </c>
      <c r="D20" s="11">
        <v>10.532999999999999</v>
      </c>
      <c r="E20" s="11" t="s">
        <v>344</v>
      </c>
      <c r="F20" s="11">
        <f>O20*TextQTY</f>
        <v>2</v>
      </c>
      <c r="G20" s="11"/>
      <c r="H20" s="116" t="s">
        <v>345</v>
      </c>
      <c r="I20" s="11">
        <f>K20*F20</f>
        <v>0.7</v>
      </c>
      <c r="J20" s="11">
        <f>C20*D20*F20/144</f>
        <v>0.34554091666666664</v>
      </c>
      <c r="K20" s="11">
        <v>0.35</v>
      </c>
      <c r="O20">
        <v>2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11.85</v>
      </c>
      <c r="D21" s="11">
        <v>7.6379999999999999</v>
      </c>
      <c r="E21" s="11" t="s">
        <v>346</v>
      </c>
      <c r="F21" s="11">
        <f>O21*TextQTY</f>
        <v>1</v>
      </c>
      <c r="G21" s="11"/>
      <c r="H21" s="116" t="s">
        <v>352</v>
      </c>
      <c r="I21" s="11">
        <f>K21*F21</f>
        <v>1.27</v>
      </c>
      <c r="J21" s="11">
        <f>C21*D21*F21/144</f>
        <v>0.62854374999999996</v>
      </c>
      <c r="K21" s="11">
        <v>1.27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11.85</v>
      </c>
      <c r="D22" s="11">
        <v>7.6379999999999999</v>
      </c>
      <c r="E22" s="11" t="s">
        <v>347</v>
      </c>
      <c r="F22" s="11">
        <f>O22*TextQTY</f>
        <v>1</v>
      </c>
      <c r="G22" s="11"/>
      <c r="H22" s="116" t="s">
        <v>348</v>
      </c>
      <c r="I22" s="11">
        <f>K22*F22</f>
        <v>1.27</v>
      </c>
      <c r="J22" s="11">
        <f>C22*D22*F22/144</f>
        <v>0.62854374999999996</v>
      </c>
      <c r="K22" s="11">
        <v>1.27</v>
      </c>
      <c r="O22">
        <v>1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10.1</v>
      </c>
      <c r="D23" s="11">
        <v>6.484</v>
      </c>
      <c r="E23" s="11" t="s">
        <v>349</v>
      </c>
      <c r="F23" s="11">
        <f>O23*TextQTY</f>
        <v>2</v>
      </c>
      <c r="G23" s="11"/>
      <c r="H23" s="116" t="s">
        <v>350</v>
      </c>
      <c r="I23" s="11">
        <f>K23*F23</f>
        <v>1.84</v>
      </c>
      <c r="J23" s="11">
        <f>C23*D23*F23/144</f>
        <v>0.90956111111111104</v>
      </c>
      <c r="K23" s="11">
        <v>0.92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1" x14ac:dyDescent="0.2"/>
    <row r="26" spans="2:17" x14ac:dyDescent="0.2">
      <c r="B26" s="20" t="str">
        <f>B14</f>
        <v>MATERIAL</v>
      </c>
      <c r="C26" s="11" t="str">
        <f>I14</f>
        <v>Weight Lbs</v>
      </c>
      <c r="D26" s="11" t="str">
        <f>J14</f>
        <v>SQ. FT</v>
      </c>
    </row>
    <row r="27" spans="2:17" x14ac:dyDescent="0.2">
      <c r="B27" s="11" t="s">
        <v>62</v>
      </c>
      <c r="C27" s="11">
        <f>SUBTOTAL(9,I15:I23)</f>
        <v>9.27</v>
      </c>
      <c r="D27" s="11">
        <f>SUBTOTAL(9,J15:J23)</f>
        <v>4.5859623055555554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ABD Assembly-10106LA.pdf" xr:uid="{87863D53-02CE-4F15-A5BD-1199C1CD2E19}"/>
    <hyperlink ref="J5" r:id="rId2" tooltip="ABD Assembly-10106LA.EASM" xr:uid="{7F5578FE-6D74-4C5F-9A7D-3979E2EFE722}"/>
    <hyperlink ref="H15" r:id="rId3" tooltip="53280RX-106AL.pdf" xr:uid="{16AA581A-9297-4C4D-87B2-AC3953B50AD1}"/>
    <hyperlink ref="H16" r:id="rId4" tooltip="53280SX-106.pdf" xr:uid="{84BD55F3-EC23-4D08-BBFB-112805946E40}"/>
    <hyperlink ref="H17" r:id="rId5" tooltip="53283BX.pdf" xr:uid="{C927A35C-205A-4E56-9E59-4D84C4C09256}"/>
    <hyperlink ref="H18" r:id="rId6" tooltip="53285JX.pdf" xr:uid="{269BDE90-9EDF-4D1F-94D4-C9CD3696C7D5}"/>
    <hyperlink ref="H19" r:id="rId7" tooltip="53286PX-10L.pdf" xr:uid="{B873EDDA-181C-4726-B3B6-EA4553C1F04A}"/>
    <hyperlink ref="H20" r:id="rId8" tooltip="53288AX-10.pdf" xr:uid="{89D6724A-8E02-407B-83F9-78767128F077}"/>
    <hyperlink ref="H21" r:id="rId9" tooltip="54102BX-106.pdf" xr:uid="{C4F320CB-B209-44DC-B839-1611AF5A89F5}"/>
    <hyperlink ref="H22" r:id="rId10" tooltip="54102SX-106.pdf" xr:uid="{5A59FEFE-5514-4DE5-B6DC-358C5F917D6A}"/>
    <hyperlink ref="H23" r:id="rId11" tooltip="54103BX-10106.pdf" xr:uid="{92F0CEBE-43CE-49FC-AB90-D8A134A1F388}"/>
  </hyperlinks>
  <printOptions horizontalCentered="1" verticalCentered="1"/>
  <pageMargins left="0.75" right="0.75" top="1" bottom="1" header="0.5" footer="0.5"/>
  <pageSetup scale="95" orientation="landscape" r:id="rId12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Standard Product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Mujeeb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ABD Assembly-10106LA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/>
      </c>
      <c r="N6" s="69"/>
      <c r="Z6" s="81" t="s">
        <v>293</v>
      </c>
    </row>
    <row r="7" spans="1:26" ht="15.75" thickBot="1" x14ac:dyDescent="0.25">
      <c r="B7" s="71"/>
      <c r="C7" s="72" t="s">
        <v>245</v>
      </c>
      <c r="D7" s="73"/>
      <c r="E7" s="74"/>
      <c r="F7" s="73" t="s">
        <v>313</v>
      </c>
      <c r="G7" s="73"/>
      <c r="H7" s="73"/>
      <c r="I7" s="73"/>
      <c r="J7" s="73"/>
      <c r="K7" s="73"/>
      <c r="L7" s="73"/>
      <c r="M7" s="71"/>
      <c r="N7" s="75"/>
      <c r="Z7" s="81" t="s">
        <v>294</v>
      </c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  <c r="Z8" s="81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298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295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299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300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301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302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296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297</v>
      </c>
    </row>
    <row r="17" spans="1:14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</row>
    <row r="18" spans="1:14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</row>
    <row r="19" spans="1:14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14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14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14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14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14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14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14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14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14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14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14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14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14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303</v>
      </c>
      <c r="F40" s="99" t="s">
        <v>310</v>
      </c>
      <c r="G40" s="99" t="s">
        <v>311</v>
      </c>
      <c r="H40" s="148" t="s">
        <v>312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304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305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306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307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308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309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315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Standard Product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Mujeeb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ABD</v>
      </c>
      <c r="D7" s="14"/>
      <c r="E7" s="15"/>
      <c r="F7" s="4" t="s">
        <v>3</v>
      </c>
      <c r="G7" s="11" t="str">
        <f>'Project Info'!G7</f>
        <v>2025-04-04</v>
      </c>
      <c r="H7" s="15"/>
      <c r="I7" s="118"/>
      <c r="J7" s="169" t="s">
        <v>116</v>
      </c>
      <c r="K7" s="170"/>
      <c r="L7" s="171"/>
      <c r="M7" s="24">
        <v>2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/>
      </c>
      <c r="H10" s="15"/>
      <c r="I10" s="118"/>
      <c r="J10" s="172" t="s">
        <v>177</v>
      </c>
      <c r="K10" s="173"/>
      <c r="L10" s="174"/>
      <c r="M10" s="53">
        <v>14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2</v>
      </c>
      <c r="G18" s="11"/>
      <c r="H18" s="11" t="s">
        <v>126</v>
      </c>
      <c r="I18" s="11">
        <f t="shared" si="0"/>
        <v>4.46</v>
      </c>
      <c r="J18" s="11">
        <f t="shared" si="1"/>
        <v>1.7819182638888889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2</v>
      </c>
      <c r="G19" s="11"/>
      <c r="H19" s="11" t="s">
        <v>128</v>
      </c>
      <c r="I19" s="11">
        <f t="shared" si="0"/>
        <v>4.46</v>
      </c>
      <c r="J19" s="11">
        <f t="shared" si="1"/>
        <v>1.7819182638888889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4</v>
      </c>
      <c r="G20" s="11"/>
      <c r="H20" s="11" t="s">
        <v>130</v>
      </c>
      <c r="I20" s="11">
        <f t="shared" si="0"/>
        <v>0.52</v>
      </c>
      <c r="J20" s="11">
        <f t="shared" si="1"/>
        <v>0.21081133333333335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2</v>
      </c>
      <c r="G22" s="11"/>
      <c r="H22" s="11" t="s">
        <v>132</v>
      </c>
      <c r="I22" s="11">
        <f t="shared" ref="I22:I43" si="2">K22*F22</f>
        <v>1.6</v>
      </c>
      <c r="J22" s="11">
        <f t="shared" ref="J22:J43" si="3">C22*D22*F22/144</f>
        <v>0.79070733333333332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1</v>
      </c>
      <c r="G25" s="11"/>
      <c r="H25" s="11" t="s">
        <v>138</v>
      </c>
      <c r="I25" s="11">
        <f t="shared" si="2"/>
        <v>0.76</v>
      </c>
      <c r="J25" s="11">
        <f t="shared" si="3"/>
        <v>0.37697464583333334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4</v>
      </c>
      <c r="G26" s="11"/>
      <c r="H26" s="11" t="s">
        <v>140</v>
      </c>
      <c r="I26" s="11">
        <f t="shared" si="2"/>
        <v>0.44</v>
      </c>
      <c r="J26" s="11">
        <f t="shared" si="3"/>
        <v>0.21042233333333338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16</v>
      </c>
      <c r="G39" s="11"/>
      <c r="H39" s="11" t="s">
        <v>165</v>
      </c>
      <c r="I39" s="11">
        <f t="shared" si="2"/>
        <v>0.96</v>
      </c>
      <c r="J39" s="11">
        <f t="shared" si="3"/>
        <v>0.50450155555555554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2</v>
      </c>
      <c r="G40" s="11"/>
      <c r="H40" s="11" t="s">
        <v>167</v>
      </c>
      <c r="I40" s="11">
        <f t="shared" si="2"/>
        <v>1.5</v>
      </c>
      <c r="J40" s="11">
        <f t="shared" si="3"/>
        <v>0.74319575000000004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2</v>
      </c>
      <c r="G41" s="11"/>
      <c r="H41" s="11" t="s">
        <v>169</v>
      </c>
      <c r="I41" s="11">
        <f t="shared" si="2"/>
        <v>0.94</v>
      </c>
      <c r="J41" s="11">
        <f t="shared" si="3"/>
        <v>0.46484930555555554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2</v>
      </c>
      <c r="G42" s="11"/>
      <c r="H42" s="11" t="s">
        <v>171</v>
      </c>
      <c r="I42" s="11">
        <f t="shared" si="2"/>
        <v>0.96</v>
      </c>
      <c r="J42" s="11">
        <f t="shared" si="3"/>
        <v>0.47553068055555553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6</v>
      </c>
      <c r="G43" s="11"/>
      <c r="H43" s="11" t="s">
        <v>173</v>
      </c>
      <c r="I43" s="11">
        <f t="shared" si="2"/>
        <v>0.24</v>
      </c>
      <c r="J43" s="11">
        <f t="shared" si="3"/>
        <v>0.11753191666666668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11.209999999999999</v>
      </c>
      <c r="D47" s="11">
        <f>SUBTOTAL(9,J15:J20)</f>
        <v>4.4745495902777774</v>
      </c>
    </row>
    <row r="48" spans="2:12" x14ac:dyDescent="0.2">
      <c r="B48" s="11" t="s">
        <v>62</v>
      </c>
      <c r="C48" s="11">
        <f>SUBTOTAL(9,I22:I43)</f>
        <v>18.410000000000004</v>
      </c>
      <c r="D48" s="11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Standard Product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Mujeeb Olodo</cp:lastModifiedBy>
  <cp:lastPrinted>2024-06-14T15:14:17Z</cp:lastPrinted>
  <dcterms:created xsi:type="dcterms:W3CDTF">2001-06-08T13:07:09Z</dcterms:created>
  <dcterms:modified xsi:type="dcterms:W3CDTF">2025-08-26T13:04:32Z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