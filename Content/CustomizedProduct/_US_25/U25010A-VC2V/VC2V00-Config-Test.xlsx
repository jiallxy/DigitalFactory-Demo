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jluo\Documents\SolidWorksProject\2025\Ventilation-Ceiling2025\VCS15-20250000\VC2V\"/>
    </mc:Choice>
  </mc:AlternateContent>
  <xr:revisionPtr revIDLastSave="0" documentId="13_ncr:1_{674B1BD9-812E-4697-B46F-D6FFC881FDE8}" xr6:coauthVersionLast="47" xr6:coauthVersionMax="47" xr10:uidLastSave="{00000000-0000-0000-0000-000000000000}"/>
  <bookViews>
    <workbookView xWindow="-120" yWindow="-120" windowWidth="29040" windowHeight="15720" xr2:uid="{00000000-000D-0000-FFFF-FFFF00000000}"/>
  </bookViews>
  <sheets>
    <sheet name="Model Data" sheetId="1" r:id="rId1"/>
    <sheet name="ToSolidworks" sheetId="2" r:id="rId2"/>
    <sheet name="ToSolidworksInstruction" sheetId="3" r:id="rId3"/>
    <sheet name="Sheet1" sheetId="4" r:id="rId4"/>
  </sheets>
  <definedNames>
    <definedName name="_xlnm.Print_Area" localSheetId="0">'Model Data'!$A$1:$E$48</definedName>
    <definedName name="_xlnm.Print_Area" localSheetId="1">ToSolidworks!$A$1:$G$97</definedName>
    <definedName name="_xlnm.Print_Area" localSheetId="2">ToSolidworksInstruction!$A$1:$F$60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1" i="2" l="1"/>
  <c r="C83" i="2"/>
  <c r="C95" i="2"/>
  <c r="E26" i="1"/>
  <c r="B26" i="1" s="1"/>
  <c r="E28" i="1" s="1"/>
  <c r="D17" i="1"/>
  <c r="C21" i="2" s="1"/>
  <c r="D18" i="1"/>
  <c r="C22" i="2" s="1"/>
  <c r="D16" i="1"/>
  <c r="C20" i="2" s="1"/>
  <c r="D31" i="1"/>
  <c r="C25" i="2"/>
  <c r="B28" i="1" l="1"/>
  <c r="E29" i="1"/>
  <c r="B29" i="1" s="1"/>
  <c r="D19" i="1"/>
  <c r="D12" i="1" l="1"/>
  <c r="C18" i="2" s="1"/>
  <c r="D15" i="1" l="1"/>
  <c r="C19" i="2" l="1"/>
  <c r="E10" i="1"/>
  <c r="B10" i="1" s="1"/>
  <c r="B6" i="1"/>
  <c r="C4" i="2" s="1"/>
  <c r="D30" i="1" l="1"/>
  <c r="D48" i="1"/>
  <c r="D8" i="1" s="1"/>
  <c r="C82" i="2" l="1"/>
  <c r="C94" i="2"/>
  <c r="C93" i="2"/>
  <c r="C81" i="2"/>
  <c r="C23" i="2"/>
  <c r="C6" i="2"/>
  <c r="D47" i="1"/>
  <c r="D11" i="1"/>
  <c r="D14" i="1"/>
  <c r="C13" i="2" s="1"/>
  <c r="D26" i="1"/>
  <c r="D25" i="1"/>
  <c r="G54" i="2" l="1"/>
  <c r="C54" i="2" s="1"/>
  <c r="C14" i="2"/>
  <c r="C5" i="2"/>
  <c r="C7" i="2" s="1"/>
  <c r="C42" i="2"/>
  <c r="C16" i="2"/>
  <c r="C15" i="2"/>
  <c r="D1" i="1"/>
  <c r="G55" i="2" l="1"/>
  <c r="C55" i="2" s="1"/>
  <c r="B8" i="1"/>
  <c r="F32" i="1" s="1"/>
  <c r="D42" i="1"/>
  <c r="C69" i="2" s="1"/>
  <c r="D43" i="1"/>
  <c r="C70" i="2" s="1"/>
  <c r="D28" i="1"/>
  <c r="C37" i="2" s="1"/>
  <c r="D7" i="1"/>
  <c r="C29" i="2" s="1"/>
  <c r="D10" i="1"/>
  <c r="C30" i="2" s="1"/>
  <c r="D32" i="1"/>
  <c r="C59" i="2" s="1"/>
  <c r="D46" i="1"/>
  <c r="D39" i="1"/>
  <c r="C66" i="2" s="1"/>
  <c r="D41" i="1"/>
  <c r="C68" i="2" s="1"/>
  <c r="D33" i="1"/>
  <c r="C60" i="2" s="1"/>
  <c r="D36" i="1"/>
  <c r="C63" i="2" s="1"/>
  <c r="D40" i="1"/>
  <c r="C67" i="2" s="1"/>
  <c r="D37" i="1"/>
  <c r="C64" i="2" s="1"/>
  <c r="D34" i="1"/>
  <c r="C61" i="2" s="1"/>
  <c r="D38" i="1"/>
  <c r="C65" i="2" s="1"/>
  <c r="D35" i="1"/>
  <c r="C62" i="2" s="1"/>
  <c r="E5" i="4" l="1"/>
  <c r="E6" i="4"/>
  <c r="E7" i="4"/>
  <c r="E8" i="4"/>
  <c r="E9" i="4"/>
  <c r="E10" i="4"/>
  <c r="E11" i="4"/>
  <c r="E12" i="4"/>
  <c r="E13" i="4"/>
  <c r="E14" i="4"/>
  <c r="E15" i="4"/>
  <c r="E16" i="4"/>
  <c r="E17" i="4"/>
  <c r="E18" i="4"/>
  <c r="E19" i="4"/>
  <c r="E20" i="4"/>
  <c r="E21" i="4"/>
  <c r="E22" i="4"/>
  <c r="E23" i="4"/>
  <c r="E24" i="4"/>
  <c r="E25" i="4"/>
  <c r="E26" i="4"/>
  <c r="E27" i="4"/>
  <c r="E28" i="4"/>
  <c r="E29" i="4"/>
  <c r="E30" i="4"/>
  <c r="E31" i="4"/>
  <c r="E32" i="4"/>
  <c r="D13" i="1"/>
  <c r="C50" i="2" l="1"/>
  <c r="C46" i="2"/>
  <c r="C17" i="2"/>
  <c r="C88" i="2"/>
  <c r="C87" i="2"/>
  <c r="C75" i="2"/>
  <c r="C79" i="2"/>
  <c r="C91" i="2"/>
  <c r="C90" i="2"/>
  <c r="C76" i="2"/>
  <c r="C80" i="2"/>
  <c r="C92" i="2"/>
  <c r="C89" i="2"/>
  <c r="C78" i="2"/>
  <c r="C77" i="2"/>
  <c r="C53" i="2"/>
  <c r="C49" i="2"/>
  <c r="C41" i="2"/>
  <c r="C45" i="2"/>
  <c r="C12" i="2"/>
  <c r="E24" i="1"/>
  <c r="E23" i="1"/>
  <c r="D45" i="1"/>
  <c r="D44" i="1"/>
  <c r="B24" i="1" l="1"/>
  <c r="D24" i="1" s="1"/>
  <c r="C35" i="2" s="1"/>
  <c r="B23" i="1"/>
  <c r="C24" i="2"/>
  <c r="G8" i="2"/>
  <c r="C8" i="2" s="1"/>
  <c r="D22" i="1"/>
  <c r="C33" i="2" s="1"/>
  <c r="D4" i="1"/>
  <c r="C26" i="2" s="1"/>
  <c r="D5" i="1"/>
  <c r="C27" i="2" s="1"/>
  <c r="D6" i="1"/>
  <c r="C28" i="2" s="1"/>
  <c r="D21" i="1"/>
  <c r="C32" i="2" s="1"/>
  <c r="D20" i="1"/>
  <c r="C31" i="2" s="1"/>
  <c r="D23" i="1" l="1"/>
  <c r="C34" i="2" s="1"/>
  <c r="G95" i="2"/>
  <c r="G83" i="2"/>
  <c r="D9" i="1"/>
  <c r="G71" i="2" s="1"/>
  <c r="B9" i="1" l="1"/>
  <c r="D29" i="1" l="1"/>
  <c r="C38" i="2" s="1"/>
  <c r="E27" i="1"/>
  <c r="B27" i="1" s="1"/>
  <c r="D27" i="1" l="1"/>
  <c r="C36" i="2" s="1"/>
  <c r="G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tc={29F5F413-AB93-426C-932E-89B291918FAF}</author>
    <author>tc={2DB78D57-CE28-4379-958A-D7E77429C2AE}</author>
  </authors>
  <commentList>
    <comment ref="A6" authorId="0" shapeId="0" xr:uid="{29F5F413-AB93-426C-932E-89B291918FAF}">
      <text>
        <t>[Threaded comment]
Your version of Excel allows you to read this threaded comment; however, any edits to it will get removed if the file is opened in a newer version of Excel. Learn more: https://go.microsoft.com/fwlink/?linkid=870924
Comment:
    15 is Minimun height for UL list. Halton Marine might be 250mm</t>
      </text>
    </comment>
    <comment ref="A27" authorId="1" shapeId="0" xr:uid="{2DB78D57-CE28-4379-958A-D7E77429C2AE}">
      <text>
        <t>[Threaded comment]
Your version of Excel allows you to read this threaded comment; however, any edits to it will get removed if the file is opened in a newer version of Excel. Learn more: https://go.microsoft.com/fwlink/?linkid=870924
Comment:
    The default number is in the middle of light panel. If you want to move the light, please +- a number here, it will move the light off the center.</t>
      </text>
    </comment>
  </commentList>
</comments>
</file>

<file path=xl/sharedStrings.xml><?xml version="1.0" encoding="utf-8"?>
<sst xmlns="http://schemas.openxmlformats.org/spreadsheetml/2006/main" count="639" uniqueCount="290">
  <si>
    <t>Model Data</t>
  </si>
  <si>
    <t>Control Name</t>
  </si>
  <si>
    <t>ToSolidworks</t>
  </si>
  <si>
    <t>Command</t>
  </si>
  <si>
    <t>SolidWorks Object</t>
  </si>
  <si>
    <t>Value</t>
  </si>
  <si>
    <t>Status</t>
  </si>
  <si>
    <t>Comment</t>
  </si>
  <si>
    <t>Start</t>
  </si>
  <si>
    <t>ComponentName</t>
  </si>
  <si>
    <t>Ok / -</t>
  </si>
  <si>
    <t>Begin to handle this component or ignore it</t>
  </si>
  <si>
    <t>"MainAssembly"</t>
  </si>
  <si>
    <t>Sub assy-1@MainAssy/Part-1@Sub assy</t>
  </si>
  <si>
    <t>Part-1@Main assy</t>
  </si>
  <si>
    <t>"3D0X01XXX-3@3D0XX00XX"</t>
  </si>
  <si>
    <t>Dimension</t>
  </si>
  <si>
    <t>DimensionName</t>
  </si>
  <si>
    <t xml:space="preserve">Changes a dimension in the opened component </t>
  </si>
  <si>
    <t>"Dist@LPatternHole-V"</t>
  </si>
  <si>
    <t>"D1@Sketch1"</t>
  </si>
  <si>
    <t>AttributeCustom</t>
  </si>
  <si>
    <t>PropertyName</t>
  </si>
  <si>
    <t>New value</t>
  </si>
  <si>
    <t>Changes the custom property of this component to "New value".</t>
  </si>
  <si>
    <t>"Material"</t>
  </si>
  <si>
    <t>"SW-Material"</t>
  </si>
  <si>
    <t>AttributeConfig</t>
  </si>
  <si>
    <t>Changes the Configuration specific property of this component’s configuration to "New value".</t>
  </si>
  <si>
    <t xml:space="preserve">"CodeModel" </t>
  </si>
  <si>
    <t>"special"</t>
  </si>
  <si>
    <t>Equation</t>
  </si>
  <si>
    <t>EquationSequenceNumber</t>
  </si>
  <si>
    <t>"PartCode"=3 ' Comment</t>
  </si>
  <si>
    <t>"D1@Sketch1"=2 ' Comment</t>
  </si>
  <si>
    <t>ComponentProp</t>
  </si>
  <si>
    <t>MaterialName</t>
  </si>
  <si>
    <t>Changes the Material of this component to "New value".</t>
  </si>
  <si>
    <t>"5.00mm EN AW 5754"</t>
  </si>
  <si>
    <t>KFactor</t>
  </si>
  <si>
    <t>0.27</t>
  </si>
  <si>
    <t>InsideBendRadius</t>
  </si>
  <si>
    <t>HemKFactor</t>
  </si>
  <si>
    <t>Changes the Hem K Factor of this component to "New value".</t>
  </si>
  <si>
    <t>0.65</t>
  </si>
  <si>
    <t>Thickness</t>
  </si>
  <si>
    <t>Suppress</t>
  </si>
  <si>
    <t>Changes the suppress status of this component to "New value".</t>
  </si>
  <si>
    <t>Void</t>
  </si>
  <si>
    <t>No action, it can regards as comments line. This command make sure the software to check next line.</t>
  </si>
  <si>
    <t>Stop</t>
  </si>
  <si>
    <t>Stop to handle this component, and clean memory. Then check next line. Next line should be void or start or blank.</t>
  </si>
  <si>
    <t>MainAssembly</t>
  </si>
  <si>
    <t>Note1</t>
  </si>
  <si>
    <t>Note3</t>
  </si>
  <si>
    <t>OK</t>
  </si>
  <si>
    <t>Changes the thickness of this sheetmetal component to "New value". Unit is mm</t>
  </si>
  <si>
    <t>New value. Unit is m or count number</t>
  </si>
  <si>
    <t>CodeModel</t>
  </si>
  <si>
    <t xml:space="preserve"> </t>
  </si>
  <si>
    <t>-</t>
  </si>
  <si>
    <t>3D0XX00XE or  Default</t>
  </si>
  <si>
    <t>ActiveConfiguration</t>
  </si>
  <si>
    <t>3DUF00XXX-1@3D0XX00XX/3DUF01XXX-1@3DUF00XXX</t>
  </si>
  <si>
    <t>ExcludeFromBOM</t>
  </si>
  <si>
    <t>True to exclude the configuration from the BOM, false to not</t>
  </si>
  <si>
    <t>ConfigurationName</t>
  </si>
  <si>
    <t>empty</t>
  </si>
  <si>
    <t>2B0R25XXX-2@2B0R00LRX</t>
  </si>
  <si>
    <t>new configuration name</t>
  </si>
  <si>
    <t>Changes the suppress status of specific component inside this component  to "New value".True suppress, false unsuppress. To suppress components inside an assembly.</t>
  </si>
  <si>
    <t>ChangeConfigOfSpecificComp</t>
  </si>
  <si>
    <t>2B0R00LRX-1@2B0R00XXX/2B0R01NFX-1@2B0R00LRX</t>
  </si>
  <si>
    <t>FeatureName   "LPatternBtMullionPos" when open a part</t>
  </si>
  <si>
    <t>Cut-Extrude1@CvDrPl00-1@EleRiserCoverPlates/CvDrPl02-1@CvDrPl00, When open a sub assembly(EleRiserCoverPlates), and the feature is in a part(CvDrPl02-1) of a sub assemlby(CvDrPl00-1).</t>
  </si>
  <si>
    <t>empty means this component's current configuration</t>
  </si>
  <si>
    <t>empty or ConfigName</t>
  </si>
  <si>
    <t>empty  or ConfigName</t>
  </si>
  <si>
    <t>Cut-LT@CvEbPl-2@EleRiserCoverPlates   When open a  sub assembly(EleRiserCoverPlates), and the feature(Cut-LT) is in a part(CvEbPl-2) of this subassembly</t>
  </si>
  <si>
    <t>SuppressFeature</t>
  </si>
  <si>
    <t>SuppressComp</t>
  </si>
  <si>
    <t>QtyofBends</t>
  </si>
  <si>
    <t xml:space="preserve">Changes the QtyofBends of this sheetmetal component to "New value". </t>
  </si>
  <si>
    <t>Changes the inside bend radius of this component to "New value". Unit is mm</t>
  </si>
  <si>
    <t>&lt;--When a cell in column "A" is blank, the software will stop to check the command.</t>
  </si>
  <si>
    <t>HL</t>
  </si>
  <si>
    <t>HW</t>
  </si>
  <si>
    <t>HB</t>
  </si>
  <si>
    <t>HF</t>
  </si>
  <si>
    <t>Calculated Value (mm)</t>
  </si>
  <si>
    <t>Default</t>
  </si>
  <si>
    <t>Changes the active configuration for this component to new value. When you want to change property of a component for a specific config, better use this command first.</t>
  </si>
  <si>
    <t>Changes the suppress status of specific feature of this component to "New value"..True suppress, false unsuppress. To suppress features inside a part. Want to suppress fearture for a specific config, bettter use active configuration command for the component first</t>
  </si>
  <si>
    <t>Overall Size and option</t>
  </si>
  <si>
    <t>WBackAir</t>
  </si>
  <si>
    <t>QtyCollar</t>
  </si>
  <si>
    <t>CollarLG</t>
  </si>
  <si>
    <t>CollarHT</t>
  </si>
  <si>
    <t>LightType</t>
  </si>
  <si>
    <t>KsaWidth</t>
  </si>
  <si>
    <t>KsaHT</t>
  </si>
  <si>
    <t>LocType</t>
  </si>
  <si>
    <t>EncType</t>
  </si>
  <si>
    <t>CJFanSide</t>
  </si>
  <si>
    <t>Hood Location, 0 sa, 1 LT, 2,Mid, 3 Rt</t>
  </si>
  <si>
    <t>Hood Length</t>
  </si>
  <si>
    <t>Hood Width</t>
  </si>
  <si>
    <t>Hood Front Height</t>
  </si>
  <si>
    <t>Hood Back Height</t>
  </si>
  <si>
    <t>Hood Back Air Space Width</t>
  </si>
  <si>
    <t>0 L/F/R, 1 L/F, 2 F, 3 R/F</t>
  </si>
  <si>
    <t>HEncPanel</t>
  </si>
  <si>
    <t>Enclosure Panel Height</t>
  </si>
  <si>
    <t>DistEncToHF</t>
  </si>
  <si>
    <t>Enclosure Panel To Hood Front</t>
  </si>
  <si>
    <t>Collar Qty, 0,1,2,3</t>
  </si>
  <si>
    <t>LCollar</t>
  </si>
  <si>
    <t>Collar Length</t>
  </si>
  <si>
    <t>WCollar</t>
  </si>
  <si>
    <t>Collar Width</t>
  </si>
  <si>
    <t>HCollar</t>
  </si>
  <si>
    <t>Collar Height</t>
  </si>
  <si>
    <t>DistCollarToBkair</t>
  </si>
  <si>
    <t>Collar To Back</t>
  </si>
  <si>
    <t>Light type, 0 is no, 1 is Led</t>
  </si>
  <si>
    <t>1 is cj fan on left, 2 is cj fan on right</t>
  </si>
  <si>
    <t>JetFanType</t>
  </si>
  <si>
    <t>fan type, 4 is K4 fan, 6 is K6 fan</t>
  </si>
  <si>
    <t>Ansultype</t>
  </si>
  <si>
    <t>1 ansul Lt ,2 ansul Lt and Detect Both, 3 ansul Rt, 4 Ansul Rt and Detect Both</t>
  </si>
  <si>
    <t>AnsulMidQty</t>
  </si>
  <si>
    <t>AnsulFrontQty</t>
  </si>
  <si>
    <t>FireCab</t>
  </si>
  <si>
    <t>Fire Cab ,0 is no, 1 is Yes</t>
  </si>
  <si>
    <t>LabelQty</t>
  </si>
  <si>
    <t>KSAwidthOccupied</t>
  </si>
  <si>
    <t>KSAtype</t>
  </si>
  <si>
    <t>Ksa Type, 13 or 16</t>
  </si>
  <si>
    <t>SideAirLT</t>
  </si>
  <si>
    <t>Side air space Lt, 0 is no, 1 is wall</t>
  </si>
  <si>
    <t>SideAirRT</t>
  </si>
  <si>
    <t>Side air space Rt, 0 is no, 1 is wall</t>
  </si>
  <si>
    <t>LeftSideEndType</t>
  </si>
  <si>
    <t>RightSideEndType</t>
  </si>
  <si>
    <t>1 is cj, 2 is Notch, 3 is slope</t>
  </si>
  <si>
    <t>1 is CJ, 2 is Full</t>
  </si>
  <si>
    <t>1 Collar</t>
  </si>
  <si>
    <t>2 Collars</t>
  </si>
  <si>
    <t>3 Collars</t>
  </si>
  <si>
    <t>Input Value</t>
  </si>
  <si>
    <t>mm</t>
  </si>
  <si>
    <t>Unit</t>
  </si>
  <si>
    <t>inches</t>
  </si>
  <si>
    <t>Note2</t>
  </si>
  <si>
    <t>Ansul On Left</t>
  </si>
  <si>
    <t>Ansul On Left, Detect Both</t>
  </si>
  <si>
    <t>Ansul On Right</t>
  </si>
  <si>
    <t>Ansul On Right, Detect Both</t>
  </si>
  <si>
    <t>without Light</t>
  </si>
  <si>
    <t>with Led Lights</t>
  </si>
  <si>
    <t>with HCL Lights</t>
  </si>
  <si>
    <t>FALSE or TRUE</t>
  </si>
  <si>
    <t xml:space="preserve">empty or </t>
  </si>
  <si>
    <t>Changes the configuration of specific component inside this component to new configuration name.True to exclude the comp from the BOM, false to inclded, and Enpty means keep the same as the old setting.</t>
  </si>
  <si>
    <t>with ILG Lights</t>
  </si>
  <si>
    <t>AnsulDropQty</t>
  </si>
  <si>
    <t>KsaOVERLAP</t>
  </si>
  <si>
    <t>Marvel</t>
  </si>
  <si>
    <t>CollarFlangePosition</t>
  </si>
  <si>
    <t>No Flange</t>
  </si>
  <si>
    <t>Top Flange Only</t>
  </si>
  <si>
    <t>Top and Bottom flanges</t>
  </si>
  <si>
    <t>Bottom Flange Only</t>
  </si>
  <si>
    <t>Marine Type</t>
  </si>
  <si>
    <t>No Marvel</t>
  </si>
  <si>
    <t>Marvel Box On Hood Top</t>
  </si>
  <si>
    <t>Derived Value</t>
  </si>
  <si>
    <t>KSAHalfwidthOccupied</t>
  </si>
  <si>
    <t>HW@Sketch1</t>
  </si>
  <si>
    <t>Material GA</t>
  </si>
  <si>
    <t>16 GA</t>
  </si>
  <si>
    <t>18 GA</t>
  </si>
  <si>
    <t>20 GA</t>
  </si>
  <si>
    <t>LightQty</t>
  </si>
  <si>
    <t>LightToFront</t>
  </si>
  <si>
    <t>No Ansul</t>
  </si>
  <si>
    <t>ABD 8 with Collar</t>
  </si>
  <si>
    <t>ABD 6 Only</t>
  </si>
  <si>
    <t>ABD 6 with Access Panel</t>
  </si>
  <si>
    <t>ABD 6 with Collar</t>
  </si>
  <si>
    <t>ABDType</t>
  </si>
  <si>
    <t>ABD 6 with Collar and Access</t>
  </si>
  <si>
    <t>Marvel Probe On which Collar</t>
  </si>
  <si>
    <t>Marvel Probe On Left Collar</t>
  </si>
  <si>
    <t>Marvel Probe On Middle Collar</t>
  </si>
  <si>
    <t>Marvel Probe On Right Collar</t>
  </si>
  <si>
    <t>Mate Name ( for example: Coincident22 )</t>
  </si>
  <si>
    <t>empty meas for all configurations</t>
  </si>
  <si>
    <t>No ABD MBD</t>
  </si>
  <si>
    <t>MBD6 Only</t>
  </si>
  <si>
    <t>MBD6 with Collar</t>
  </si>
  <si>
    <t>notes</t>
  </si>
  <si>
    <t>ChangeMateAlign</t>
  </si>
  <si>
    <t>MateName</t>
  </si>
  <si>
    <t>Yes or No</t>
  </si>
  <si>
    <t>true=&gt; (int)swMateAlign_e.swMateAlignALIGNED;false =&gt; (int)swMateAlign_e.swMateAlignANTI_ALIGNED</t>
  </si>
  <si>
    <t>whether to change</t>
  </si>
  <si>
    <t>ExcludeFromBOMComp</t>
  </si>
  <si>
    <t>empty means this assembly's current configuration</t>
  </si>
  <si>
    <t>Normally should be empty</t>
  </si>
  <si>
    <t>FOLDER ANME ( for example: BAFFLES)</t>
  </si>
  <si>
    <t>HT</t>
  </si>
  <si>
    <t>A1</t>
  </si>
  <si>
    <t>A2</t>
  </si>
  <si>
    <t>A3</t>
  </si>
  <si>
    <t>A4</t>
  </si>
  <si>
    <t>A5</t>
  </si>
  <si>
    <t>A6</t>
  </si>
  <si>
    <t>A7</t>
  </si>
  <si>
    <t>A8</t>
  </si>
  <si>
    <t>A9</t>
  </si>
  <si>
    <t>A10</t>
  </si>
  <si>
    <t>A11</t>
  </si>
  <si>
    <t>AnsulToFront</t>
  </si>
  <si>
    <t>WidthFront</t>
  </si>
  <si>
    <t>WidthBack</t>
  </si>
  <si>
    <t>WidthMiddle</t>
  </si>
  <si>
    <t>CollarWidth</t>
  </si>
  <si>
    <t>WidthPods</t>
  </si>
  <si>
    <t>Fixed</t>
  </si>
  <si>
    <t>ThermStat</t>
  </si>
  <si>
    <t>AccessABDLocation</t>
  </si>
  <si>
    <t>Left ABD Access Panel</t>
  </si>
  <si>
    <t>Right ABD Access Panel</t>
  </si>
  <si>
    <t>ThermStat Y/N</t>
  </si>
  <si>
    <t>There is ThermStat</t>
  </si>
  <si>
    <t>No ThermStat</t>
  </si>
  <si>
    <t>Lights Dist</t>
  </si>
  <si>
    <t>LigthToLeft</t>
  </si>
  <si>
    <t>Collar1ToLeft</t>
  </si>
  <si>
    <t>Collars Dist</t>
  </si>
  <si>
    <t>3 Collars: RT</t>
  </si>
  <si>
    <t>1 collar:LT; 2 or 3 Collars: LT</t>
  </si>
  <si>
    <t>2 collar: RT; 3 Collars:Middle</t>
  </si>
  <si>
    <t>CollarsAssem-1@VC2V00/5003400-1@CollarsAssem</t>
  </si>
  <si>
    <t>CollarsAssem-1@VC2V00/5003400-2@CollarsAssem</t>
  </si>
  <si>
    <t>CollarsAssem-1@VC2V00/5003400-3@CollarsAssem</t>
  </si>
  <si>
    <t>Collar part code</t>
  </si>
  <si>
    <t>CollarsAssem-1@VC2V00/5003400-1@CollarsAssem/50034XX-2@5003400</t>
  </si>
  <si>
    <t>50034XA</t>
  </si>
  <si>
    <t>VC2V-Skeleton-1@VC2V00</t>
  </si>
  <si>
    <t>HL@Sketch1</t>
  </si>
  <si>
    <t>HH@PlaneBot</t>
  </si>
  <si>
    <t>WidthFront@Sketch1</t>
  </si>
  <si>
    <t>WidthBack@Sketch1</t>
  </si>
  <si>
    <t>LC@SketchCollar</t>
  </si>
  <si>
    <t>WC@SketchCollar</t>
  </si>
  <si>
    <t>HT@Surface-ExtrudeCollars</t>
  </si>
  <si>
    <t>DistC1ToLeft@SketchCollar</t>
  </si>
  <si>
    <t>Dist@SketchCollar</t>
  </si>
  <si>
    <t>LightToFront@Sketch1</t>
  </si>
  <si>
    <t>Ligth1ToLeft@Sketch1</t>
  </si>
  <si>
    <t>DistLights@Sketch1</t>
  </si>
  <si>
    <t>Dist1@Sketch1AnsulDrop01</t>
  </si>
  <si>
    <t>Dist2@Sketch1AnsulDrop01</t>
  </si>
  <si>
    <t>Dist3@Sketch1AnsulDrop01</t>
  </si>
  <si>
    <t>Dist4@Sketch1AnsulDrop01</t>
  </si>
  <si>
    <t>Dist5@Sketch1AnsulDrop01</t>
  </si>
  <si>
    <t>Dist6@Sketch1AnsulDrop01</t>
  </si>
  <si>
    <t>Dist7@Sketch1AnsulDrop01</t>
  </si>
  <si>
    <t>Dist8@Sketch1AnsulDrop01</t>
  </si>
  <si>
    <t>Dist9@Sketch1AnsulDrop01</t>
  </si>
  <si>
    <t>Dist10@Sketch1AnsulDrop01</t>
  </si>
  <si>
    <t>Dist11@Sketch1AnsulDrop01</t>
  </si>
  <si>
    <t>DistV@Sketch1AnsulDrop01</t>
  </si>
  <si>
    <t>VC2V18-2@VC2V00</t>
  </si>
  <si>
    <t>Left ABD Access Side</t>
  </si>
  <si>
    <t>Middle ABD Access Side</t>
  </si>
  <si>
    <t>Right ABD Access Side</t>
  </si>
  <si>
    <t>VC2V01-1@VC2V00</t>
  </si>
  <si>
    <t>Cut-LTABDAccessPanel1RT</t>
  </si>
  <si>
    <t>Cut-LTABDAccessPanel1LT</t>
  </si>
  <si>
    <t>Cut-3Mid2RTABDAccessPanel1LT</t>
  </si>
  <si>
    <t>Cut-3Mid2RTABDAccessPanel1RT</t>
  </si>
  <si>
    <t>Cut-2RTABDAccessPanel1LT</t>
  </si>
  <si>
    <t>Cut-2RTABDAccessPanel1RT</t>
  </si>
  <si>
    <t>Cut-AnsulDetectiveRT</t>
  </si>
  <si>
    <t>Cut-AnsulDetectiveLT</t>
  </si>
  <si>
    <t>VC2V01-2@VC2V00</t>
  </si>
  <si>
    <t>VC2V01A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</si>
</sst>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1"/>
      <color theme="1"/>
      <name val="Calibri"/>
      <family val="2"/>
      <scheme val="minor"/>
    </font>
    <font>
      <b/>
      <sz val="18"/>
      <color theme="3"/>
      <name val="Cambria"/>
      <family val="2"/>
      <scheme val="major"/>
    </font>
    <font>
      <sz val="11"/>
      <color rgb="FF006100"/>
      <name val="Calibri"/>
      <family val="2"/>
      <scheme val="minor"/>
    </font>
    <font>
      <sz val="11"/>
      <color rgb="FF3F3F76"/>
      <name val="Calibri"/>
      <family val="2"/>
      <scheme val="minor"/>
    </font>
    <font>
      <sz val="12"/>
      <color theme="1"/>
      <name val="Times New Roman"/>
      <family val="1"/>
    </font>
    <font>
      <sz val="12"/>
      <color theme="1"/>
      <name val="Calibri"/>
      <family val="2"/>
      <scheme val="minor"/>
    </font>
    <font>
      <sz val="11"/>
      <color rgb="FF9C6500"/>
      <name val="Calibri"/>
      <family val="2"/>
      <scheme val="minor"/>
    </font>
    <font>
      <b/>
      <sz val="11"/>
      <color rgb="FFFF0000"/>
      <name val="Calibri"/>
      <family val="2"/>
      <scheme val="minor"/>
    </font>
    <font>
      <b/>
      <sz val="11"/>
      <color theme="0"/>
      <name val="Calibri"/>
      <family val="2"/>
      <scheme val="minor"/>
    </font>
    <font>
      <b/>
      <sz val="11"/>
      <color rgb="FFFA7D00"/>
      <name val="Calibri"/>
      <family val="2"/>
      <scheme val="minor"/>
    </font>
    <font>
      <sz val="8"/>
      <name val="Calibri"/>
      <family val="2"/>
      <scheme val="minor"/>
    </font>
    <font>
      <sz val="9"/>
      <color theme="1"/>
      <name val="Times New Roman"/>
      <family val="1"/>
    </font>
  </fonts>
  <fills count="10">
    <fill>
      <patternFill patternType="none"/>
    </fill>
    <fill>
      <patternFill patternType="gray125"/>
    </fill>
    <fill>
      <patternFill patternType="solid">
        <fgColor rgb="FFC6EFCE"/>
      </patternFill>
    </fill>
    <fill>
      <patternFill patternType="solid">
        <fgColor rgb="FFFFCC99"/>
      </patternFill>
    </fill>
    <fill>
      <patternFill patternType="solid">
        <fgColor rgb="FFF2F2F2"/>
      </patternFill>
    </fill>
    <fill>
      <patternFill patternType="solid">
        <fgColor rgb="FFFFFFCC"/>
      </patternFill>
    </fill>
    <fill>
      <patternFill patternType="solid">
        <fgColor indexed="44"/>
        <bgColor indexed="64"/>
      </patternFill>
    </fill>
    <fill>
      <patternFill patternType="solid">
        <fgColor rgb="FFE64641"/>
        <bgColor indexed="64"/>
      </patternFill>
    </fill>
    <fill>
      <patternFill patternType="solid">
        <fgColor rgb="FFFFEB9C"/>
      </patternFill>
    </fill>
    <fill>
      <patternFill patternType="solid">
        <fgColor rgb="FFA5A5A5"/>
      </patternFill>
    </fill>
  </fills>
  <borders count="39">
    <border>
      <left/>
      <right/>
      <top/>
      <bottom/>
      <diagonal/>
    </border>
    <border>
      <left style="thin">
        <color indexed="64"/>
      </left>
      <right style="thin">
        <color indexed="64"/>
      </right>
      <top style="thin">
        <color indexed="64"/>
      </top>
      <bottom style="thin">
        <color indexed="64"/>
      </bottom>
      <diagonal/>
    </border>
    <border>
      <left/>
      <right style="medium">
        <color rgb="FF3C3C3C"/>
      </right>
      <top/>
      <bottom style="medium">
        <color rgb="FF3C3C3C"/>
      </bottom>
      <diagonal/>
    </border>
    <border>
      <left style="medium">
        <color rgb="FF3C3C3C"/>
      </left>
      <right style="medium">
        <color rgb="FF3C3C3C"/>
      </right>
      <top style="medium">
        <color rgb="FF3C3C3C"/>
      </top>
      <bottom style="medium">
        <color rgb="FF3C3C3C"/>
      </bottom>
      <diagonal/>
    </border>
    <border>
      <left/>
      <right style="medium">
        <color rgb="FF3C3C3C"/>
      </right>
      <top style="medium">
        <color rgb="FF3C3C3C"/>
      </top>
      <bottom style="medium">
        <color rgb="FF3C3C3C"/>
      </bottom>
      <diagonal/>
    </border>
    <border>
      <left/>
      <right style="medium">
        <color rgb="FF3C3C3C"/>
      </right>
      <top/>
      <bottom/>
      <diagonal/>
    </border>
    <border>
      <left style="medium">
        <color rgb="FF3C3C3C"/>
      </left>
      <right style="medium">
        <color rgb="FF3C3C3C"/>
      </right>
      <top/>
      <bottom style="medium">
        <color rgb="FF3C3C3C"/>
      </bottom>
      <diagonal/>
    </border>
    <border>
      <left style="medium">
        <color rgb="FF3C3C3C"/>
      </left>
      <right style="medium">
        <color rgb="FF3C3C3C"/>
      </right>
      <top style="medium">
        <color rgb="FF3C3C3C"/>
      </top>
      <bottom/>
      <diagonal/>
    </border>
    <border>
      <left style="medium">
        <color rgb="FF3C3C3C"/>
      </left>
      <right style="medium">
        <color rgb="FF3C3C3C"/>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rgb="FF3C3C3C"/>
      </left>
      <right/>
      <top style="medium">
        <color rgb="FF3C3C3C"/>
      </top>
      <bottom/>
      <diagonal/>
    </border>
    <border>
      <left style="medium">
        <color rgb="FF3C3C3C"/>
      </left>
      <right/>
      <top/>
      <bottom/>
      <diagonal/>
    </border>
    <border>
      <left style="medium">
        <color rgb="FF3C3C3C"/>
      </left>
      <right/>
      <top/>
      <bottom style="medium">
        <color rgb="FF3C3C3C"/>
      </bottom>
      <diagonal/>
    </border>
    <border>
      <left/>
      <right style="medium">
        <color rgb="FF3C3C3C"/>
      </right>
      <top style="medium">
        <color rgb="FF3C3C3C"/>
      </top>
      <bottom/>
      <diagonal/>
    </border>
    <border>
      <left style="thin">
        <color indexed="64"/>
      </left>
      <right style="thin">
        <color indexed="64"/>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thin">
        <color rgb="FF7F7F7F"/>
      </left>
      <right style="thin">
        <color rgb="FF7F7F7F"/>
      </right>
      <top/>
      <bottom/>
      <diagonal/>
    </border>
    <border>
      <left style="thin">
        <color rgb="FF7F7F7F"/>
      </left>
      <right/>
      <top/>
      <bottom/>
      <diagonal/>
    </border>
    <border>
      <left style="medium">
        <color indexed="64"/>
      </left>
      <right style="thick">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6">
    <xf numFmtId="0" fontId="0" fillId="0" borderId="0"/>
    <xf numFmtId="0" fontId="2" fillId="2" borderId="0" applyNumberFormat="0" applyBorder="0" applyAlignment="0" applyProtection="0"/>
    <xf numFmtId="0" fontId="6" fillId="8" borderId="0" applyNumberFormat="0" applyBorder="0" applyAlignment="0" applyProtection="0"/>
    <xf numFmtId="0" fontId="8" fillId="9" borderId="17" applyNumberFormat="0" applyAlignment="0" applyProtection="0"/>
    <xf numFmtId="0" fontId="9" fillId="4" borderId="18" applyNumberFormat="0" applyAlignment="0" applyProtection="0"/>
    <xf numFmtId="0" fontId="3" fillId="3" borderId="18" applyNumberFormat="0" applyAlignment="0" applyProtection="0"/>
  </cellStyleXfs>
  <cellXfs count="79">
    <xf numFmtId="0" fontId="0" fillId="0" borderId="0" xfId="0"/>
    <xf numFmtId="0" fontId="1" fillId="0" borderId="0" xfId="0" applyFont="1"/>
    <xf numFmtId="0" fontId="4" fillId="7" borderId="3" xfId="0" applyFont="1" applyFill="1" applyBorder="1" applyAlignment="1">
      <alignment vertical="center" wrapText="1"/>
    </xf>
    <xf numFmtId="0" fontId="4" fillId="7" borderId="4" xfId="0" applyFont="1" applyFill="1" applyBorder="1" applyAlignment="1">
      <alignment vertical="center" wrapText="1"/>
    </xf>
    <xf numFmtId="0" fontId="5" fillId="0" borderId="0" xfId="0" applyFont="1"/>
    <xf numFmtId="0" fontId="5" fillId="0" borderId="5" xfId="0" applyFont="1" applyBorder="1" applyAlignment="1">
      <alignment vertical="center" wrapText="1"/>
    </xf>
    <xf numFmtId="0" fontId="5" fillId="0" borderId="5" xfId="0" applyFont="1" applyBorder="1" applyAlignment="1">
      <alignment vertical="top" wrapText="1"/>
    </xf>
    <xf numFmtId="0" fontId="5" fillId="0" borderId="2" xfId="0" applyFont="1" applyBorder="1" applyAlignment="1">
      <alignment vertical="top" wrapText="1"/>
    </xf>
    <xf numFmtId="0" fontId="0" fillId="0" borderId="1" xfId="0" applyBorder="1"/>
    <xf numFmtId="0" fontId="2" fillId="2" borderId="1" xfId="1" applyBorder="1"/>
    <xf numFmtId="0" fontId="6" fillId="8" borderId="1" xfId="2" applyBorder="1"/>
    <xf numFmtId="0" fontId="0" fillId="0" borderId="11" xfId="0" applyBorder="1"/>
    <xf numFmtId="0" fontId="3" fillId="3" borderId="1" xfId="0" applyFont="1" applyFill="1" applyBorder="1" applyAlignment="1">
      <alignment vertical="center" wrapText="1"/>
    </xf>
    <xf numFmtId="0" fontId="0" fillId="0" borderId="0" xfId="0" applyAlignment="1">
      <alignment wrapText="1"/>
    </xf>
    <xf numFmtId="0" fontId="2" fillId="2" borderId="1" xfId="0" applyFont="1" applyFill="1" applyBorder="1" applyAlignment="1">
      <alignment vertical="center"/>
    </xf>
    <xf numFmtId="0" fontId="4" fillId="0" borderId="9" xfId="0" applyFont="1" applyBorder="1" applyAlignment="1">
      <alignment vertical="center" wrapText="1"/>
    </xf>
    <xf numFmtId="0" fontId="4" fillId="0" borderId="10" xfId="0" applyFont="1" applyBorder="1" applyAlignment="1">
      <alignment vertical="center" wrapText="1"/>
    </xf>
    <xf numFmtId="0" fontId="7" fillId="0" borderId="0" xfId="0" applyFont="1"/>
    <xf numFmtId="0" fontId="0" fillId="0" borderId="1" xfId="0" quotePrefix="1" applyBorder="1"/>
    <xf numFmtId="0" fontId="0" fillId="0" borderId="9" xfId="0" applyBorder="1"/>
    <xf numFmtId="0" fontId="2" fillId="2" borderId="9" xfId="1" applyBorder="1"/>
    <xf numFmtId="0" fontId="0" fillId="0" borderId="19" xfId="0" applyBorder="1"/>
    <xf numFmtId="0" fontId="2" fillId="2" borderId="20" xfId="1" applyBorder="1"/>
    <xf numFmtId="0" fontId="0" fillId="0" borderId="20" xfId="0" applyBorder="1"/>
    <xf numFmtId="0" fontId="0" fillId="0" borderId="21" xfId="0" applyBorder="1"/>
    <xf numFmtId="0" fontId="0" fillId="0" borderId="23" xfId="0" applyBorder="1"/>
    <xf numFmtId="0" fontId="0" fillId="0" borderId="22" xfId="0" applyBorder="1"/>
    <xf numFmtId="0" fontId="2" fillId="2" borderId="25" xfId="1" applyBorder="1"/>
    <xf numFmtId="0" fontId="0" fillId="0" borderId="26" xfId="0" applyBorder="1"/>
    <xf numFmtId="0" fontId="0" fillId="0" borderId="27" xfId="0" applyBorder="1"/>
    <xf numFmtId="0" fontId="0" fillId="0" borderId="28" xfId="0" applyBorder="1"/>
    <xf numFmtId="0" fontId="0" fillId="6" borderId="1" xfId="0" applyFill="1" applyBorder="1" applyAlignment="1">
      <alignment horizontal="left"/>
    </xf>
    <xf numFmtId="0" fontId="3" fillId="3" borderId="1" xfId="5" applyBorder="1"/>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6" xfId="0" applyFont="1" applyBorder="1" applyAlignment="1">
      <alignment vertical="center" wrapText="1"/>
    </xf>
    <xf numFmtId="0" fontId="4" fillId="0" borderId="5" xfId="0" applyFont="1" applyBorder="1" applyAlignment="1">
      <alignment vertical="center" wrapText="1"/>
    </xf>
    <xf numFmtId="0" fontId="4" fillId="0" borderId="2" xfId="0" applyFont="1" applyBorder="1" applyAlignment="1">
      <alignment vertical="center" wrapText="1"/>
    </xf>
    <xf numFmtId="0" fontId="3" fillId="3" borderId="20" xfId="5" applyBorder="1"/>
    <xf numFmtId="0" fontId="4" fillId="0" borderId="16" xfId="0" applyFont="1" applyBorder="1" applyAlignment="1">
      <alignment vertical="center" wrapText="1"/>
    </xf>
    <xf numFmtId="0" fontId="4" fillId="0" borderId="29" xfId="0" applyFont="1" applyBorder="1" applyAlignment="1">
      <alignment vertical="center" wrapText="1"/>
    </xf>
    <xf numFmtId="0" fontId="0" fillId="0" borderId="30" xfId="0" applyBorder="1"/>
    <xf numFmtId="0" fontId="4" fillId="0" borderId="31" xfId="0" applyFont="1" applyBorder="1" applyAlignment="1">
      <alignment vertical="center" wrapText="1"/>
    </xf>
    <xf numFmtId="0" fontId="0" fillId="0" borderId="32" xfId="0" applyBorder="1"/>
    <xf numFmtId="0" fontId="0" fillId="0" borderId="31" xfId="0" applyBorder="1"/>
    <xf numFmtId="0" fontId="5" fillId="0" borderId="30" xfId="0" applyFont="1" applyBorder="1" applyAlignment="1">
      <alignment vertical="top" wrapText="1"/>
    </xf>
    <xf numFmtId="0" fontId="3" fillId="3" borderId="9" xfId="5" applyBorder="1"/>
    <xf numFmtId="0" fontId="8" fillId="9" borderId="1" xfId="3" applyBorder="1"/>
    <xf numFmtId="164" fontId="8" fillId="9" borderId="1" xfId="3" applyNumberFormat="1" applyBorder="1"/>
    <xf numFmtId="0" fontId="8" fillId="9" borderId="22" xfId="3" applyBorder="1"/>
    <xf numFmtId="0" fontId="8" fillId="9" borderId="23" xfId="3" applyBorder="1"/>
    <xf numFmtId="0" fontId="8" fillId="9" borderId="27" xfId="3" applyBorder="1"/>
    <xf numFmtId="0" fontId="8" fillId="9" borderId="9" xfId="3" applyBorder="1"/>
    <xf numFmtId="0" fontId="8" fillId="9" borderId="28" xfId="3" applyBorder="1"/>
    <xf numFmtId="0" fontId="8" fillId="9" borderId="19" xfId="3" applyBorder="1"/>
    <xf numFmtId="0" fontId="8" fillId="9" borderId="20" xfId="3" applyBorder="1"/>
    <xf numFmtId="0" fontId="2" fillId="2" borderId="24" xfId="1" applyBorder="1"/>
    <xf numFmtId="164" fontId="0" fillId="0" borderId="0" xfId="0" applyNumberFormat="1"/>
    <xf numFmtId="0" fontId="9" fillId="4" borderId="33" xfId="4" applyBorder="1"/>
    <xf numFmtId="0" fontId="9" fillId="4" borderId="34" xfId="4" applyBorder="1"/>
    <xf numFmtId="0" fontId="0" fillId="0" borderId="16" xfId="0" applyBorder="1"/>
    <xf numFmtId="0" fontId="0" fillId="5" borderId="35" xfId="0" applyFill="1" applyBorder="1"/>
    <xf numFmtId="0" fontId="0" fillId="5" borderId="36" xfId="0" applyFill="1" applyBorder="1"/>
    <xf numFmtId="0" fontId="0" fillId="0" borderId="36" xfId="0" applyBorder="1"/>
    <xf numFmtId="0" fontId="0" fillId="5" borderId="37" xfId="0" applyFill="1" applyBorder="1"/>
    <xf numFmtId="0" fontId="0" fillId="5" borderId="38" xfId="0" applyFill="1" applyBorder="1"/>
    <xf numFmtId="0" fontId="1" fillId="0" borderId="1" xfId="0" applyFont="1" applyBorder="1" applyAlignment="1">
      <alignment horizontal="center"/>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4" fillId="0" borderId="5" xfId="0" applyFont="1" applyBorder="1" applyAlignment="1">
      <alignment vertical="center" wrapText="1"/>
    </xf>
    <xf numFmtId="0" fontId="4" fillId="0" borderId="2" xfId="0" applyFont="1" applyBorder="1" applyAlignment="1">
      <alignment vertical="center" wrapText="1"/>
    </xf>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6" xfId="0" applyFont="1" applyBorder="1" applyAlignment="1">
      <alignment vertical="center" wrapText="1"/>
    </xf>
  </cellXfs>
  <cellStyles count="6">
    <cellStyle name="Calculation" xfId="4" builtinId="22"/>
    <cellStyle name="Check Cell" xfId="3" builtinId="23"/>
    <cellStyle name="Good" xfId="1" builtinId="26"/>
    <cellStyle name="Input" xfId="5" builtinId="20"/>
    <cellStyle name="Neutral" xfId="2" builtinId="28"/>
    <cellStyle name="Normal" xfId="0" builtinId="0"/>
  </cellStyles>
  <dxfs count="55">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16566</xdr:colOff>
      <xdr:row>0</xdr:row>
      <xdr:rowOff>115957</xdr:rowOff>
    </xdr:from>
    <xdr:to>
      <xdr:col>14</xdr:col>
      <xdr:colOff>28025</xdr:colOff>
      <xdr:row>30</xdr:row>
      <xdr:rowOff>168753</xdr:rowOff>
    </xdr:to>
    <xdr:pic>
      <xdr:nvPicPr>
        <xdr:cNvPr id="2" name="Picture 1">
          <a:extLst>
            <a:ext uri="{FF2B5EF4-FFF2-40B4-BE49-F238E27FC236}">
              <a16:creationId xmlns:a16="http://schemas.microsoft.com/office/drawing/2014/main" id="{7488F4FD-624C-2A06-5A42-1D188AB62D7E}"/>
            </a:ext>
          </a:extLst>
        </xdr:cNvPr>
        <xdr:cNvPicPr>
          <a:picLocks noChangeAspect="1"/>
        </xdr:cNvPicPr>
      </xdr:nvPicPr>
      <xdr:blipFill>
        <a:blip xmlns:r="http://schemas.openxmlformats.org/officeDocument/2006/relationships" r:embed="rId1"/>
        <a:stretch>
          <a:fillRect/>
        </a:stretch>
      </xdr:blipFill>
      <xdr:spPr>
        <a:xfrm>
          <a:off x="7694544" y="115957"/>
          <a:ext cx="5527677" cy="59334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104775</xdr:colOff>
      <xdr:row>4</xdr:row>
      <xdr:rowOff>76200</xdr:rowOff>
    </xdr:from>
    <xdr:to>
      <xdr:col>23</xdr:col>
      <xdr:colOff>220367</xdr:colOff>
      <xdr:row>28</xdr:row>
      <xdr:rowOff>19680</xdr:rowOff>
    </xdr:to>
    <xdr:pic>
      <xdr:nvPicPr>
        <xdr:cNvPr id="2" name="Picture 1">
          <a:extLst>
            <a:ext uri="{FF2B5EF4-FFF2-40B4-BE49-F238E27FC236}">
              <a16:creationId xmlns:a16="http://schemas.microsoft.com/office/drawing/2014/main" id="{838647D2-A54B-49A8-8D34-73E90592E2CA}"/>
            </a:ext>
          </a:extLst>
        </xdr:cNvPr>
        <xdr:cNvPicPr>
          <a:picLocks noChangeAspect="1"/>
        </xdr:cNvPicPr>
      </xdr:nvPicPr>
      <xdr:blipFill>
        <a:blip xmlns:r="http://schemas.openxmlformats.org/officeDocument/2006/relationships" r:embed="rId1"/>
        <a:stretch>
          <a:fillRect/>
        </a:stretch>
      </xdr:blipFill>
      <xdr:spPr>
        <a:xfrm>
          <a:off x="9544050" y="838200"/>
          <a:ext cx="9259592" cy="4515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ustin Luo" id="{44BA3AB7-D4B7-4B29-BC81-D5DA102C6396}" userId="Justin Luo" providerId="None"/>
  <person displayName="Justin Luo" id="{8E000ECC-FD6A-4427-BFCC-77B68E3A0649}" userId="S::justin.luo@halton.com::c3dcbfd2-42ac-4fda-a3b9-7842611340f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 dT="2024-11-29T13:50:58.87" personId="{44BA3AB7-D4B7-4B29-BC81-D5DA102C6396}" id="{29F5F413-AB93-426C-932E-89B291918FAF}">
    <text>15 is Minimun height for UL list. Halton Marine might be 250mm</text>
  </threadedComment>
  <threadedComment ref="A27" dT="2022-11-02T18:24:42.71" personId="{8E000ECC-FD6A-4427-BFCC-77B68E3A0649}" id="{2DB78D57-CE28-4379-958A-D7E77429C2AE}">
    <text>The default number is in the middle of light panel. If you want to move the light, please +- a number here, it will move the light off the center.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9"/>
  <sheetViews>
    <sheetView tabSelected="1" zoomScale="115" zoomScaleNormal="115" workbookViewId="0">
      <selection activeCell="D96" sqref="D96"/>
    </sheetView>
  </sheetViews>
  <sheetFormatPr defaultRowHeight="15" x14ac:dyDescent="0.25"/>
  <cols>
    <col min="1" max="1" width="29.85546875" bestFit="1" customWidth="1"/>
    <col min="2" max="2" width="28.28515625" customWidth="1"/>
    <col min="3" max="3" width="2.5703125" customWidth="1"/>
    <col min="4" max="4" width="29.85546875" bestFit="1" customWidth="1"/>
    <col min="5" max="5" width="13.7109375" bestFit="1" customWidth="1"/>
    <col min="6" max="6" width="7.28515625" bestFit="1" customWidth="1"/>
    <col min="7" max="7" width="3.5703125" customWidth="1"/>
    <col min="8" max="8" width="2.85546875" customWidth="1"/>
    <col min="9" max="9" width="28.7109375" bestFit="1" customWidth="1"/>
    <col min="12" max="12" width="14.42578125" bestFit="1" customWidth="1"/>
    <col min="18" max="18" width="22.28515625" bestFit="1" customWidth="1"/>
    <col min="21" max="21" width="23.140625" bestFit="1" customWidth="1"/>
    <col min="24" max="24" width="26.7109375" bestFit="1" customWidth="1"/>
    <col min="30" max="30" width="26" bestFit="1" customWidth="1"/>
    <col min="33" max="33" width="28.7109375" bestFit="1" customWidth="1"/>
    <col min="36" max="36" width="21.85546875" bestFit="1" customWidth="1"/>
    <col min="39" max="39" width="21.85546875" bestFit="1" customWidth="1"/>
  </cols>
  <sheetData>
    <row r="1" spans="1:40" ht="23.25" thickBot="1" x14ac:dyDescent="0.35">
      <c r="A1" s="1" t="s">
        <v>0</v>
      </c>
      <c r="B1" s="17" t="s">
        <v>152</v>
      </c>
      <c r="D1">
        <f>_xlfn.XLOOKUP(B1,I3:I4,J3:J4,J3,0,1)</f>
        <v>25.4</v>
      </c>
    </row>
    <row r="2" spans="1:40" ht="15.75" thickBot="1" x14ac:dyDescent="0.3">
      <c r="A2" s="61" t="s">
        <v>1</v>
      </c>
      <c r="B2" s="62" t="s">
        <v>149</v>
      </c>
      <c r="C2" s="63"/>
      <c r="D2" s="64" t="s">
        <v>89</v>
      </c>
      <c r="E2" s="65" t="s">
        <v>176</v>
      </c>
      <c r="I2" s="31" t="s">
        <v>151</v>
      </c>
      <c r="J2" s="31" t="s">
        <v>5</v>
      </c>
      <c r="L2" s="31" t="s">
        <v>98</v>
      </c>
      <c r="M2" s="31" t="s">
        <v>5</v>
      </c>
      <c r="O2" s="31" t="s">
        <v>95</v>
      </c>
      <c r="P2" s="31" t="s">
        <v>5</v>
      </c>
      <c r="R2" s="31" t="s">
        <v>102</v>
      </c>
      <c r="S2" s="31" t="s">
        <v>5</v>
      </c>
      <c r="U2" s="31" t="s">
        <v>167</v>
      </c>
      <c r="V2" s="31" t="s">
        <v>5</v>
      </c>
      <c r="X2" s="31" t="s">
        <v>190</v>
      </c>
      <c r="Y2" s="31" t="s">
        <v>5</v>
      </c>
      <c r="AA2" s="31" t="s">
        <v>179</v>
      </c>
      <c r="AB2" s="31" t="s">
        <v>5</v>
      </c>
      <c r="AD2" s="31" t="s">
        <v>128</v>
      </c>
      <c r="AE2" s="31" t="s">
        <v>5</v>
      </c>
      <c r="AG2" s="31" t="s">
        <v>192</v>
      </c>
      <c r="AH2" s="31" t="s">
        <v>5</v>
      </c>
      <c r="AJ2" s="31" t="s">
        <v>231</v>
      </c>
      <c r="AK2" s="31" t="s">
        <v>5</v>
      </c>
      <c r="AM2" s="31" t="s">
        <v>234</v>
      </c>
      <c r="AN2" s="31" t="s">
        <v>5</v>
      </c>
    </row>
    <row r="3" spans="1:40" ht="15.75" thickBot="1" x14ac:dyDescent="0.3">
      <c r="A3" s="58" t="s">
        <v>93</v>
      </c>
      <c r="B3" s="58"/>
      <c r="C3" s="58"/>
      <c r="D3" s="59"/>
      <c r="E3" s="60"/>
      <c r="I3" s="8" t="s">
        <v>152</v>
      </c>
      <c r="J3" s="8">
        <v>25.4</v>
      </c>
      <c r="L3" s="8" t="s">
        <v>158</v>
      </c>
      <c r="M3" s="8">
        <v>0</v>
      </c>
      <c r="O3" s="8" t="s">
        <v>146</v>
      </c>
      <c r="P3" s="8">
        <v>1</v>
      </c>
      <c r="R3" s="8" t="s">
        <v>169</v>
      </c>
      <c r="S3" s="8">
        <v>0</v>
      </c>
      <c r="U3" s="8" t="s">
        <v>174</v>
      </c>
      <c r="V3" s="8">
        <v>0</v>
      </c>
      <c r="X3" s="8" t="s">
        <v>198</v>
      </c>
      <c r="Y3" s="8">
        <v>0</v>
      </c>
      <c r="AA3" s="8" t="s">
        <v>180</v>
      </c>
      <c r="AB3" s="8">
        <v>1.51</v>
      </c>
      <c r="AD3" s="8" t="s">
        <v>154</v>
      </c>
      <c r="AE3" s="8">
        <v>1</v>
      </c>
      <c r="AG3" s="8" t="s">
        <v>193</v>
      </c>
      <c r="AH3" s="8">
        <v>1</v>
      </c>
      <c r="AJ3" s="8" t="s">
        <v>232</v>
      </c>
      <c r="AK3" s="8">
        <v>1</v>
      </c>
      <c r="AM3" s="8" t="s">
        <v>235</v>
      </c>
      <c r="AN3" s="8">
        <v>1</v>
      </c>
    </row>
    <row r="4" spans="1:40" x14ac:dyDescent="0.25">
      <c r="A4" s="21" t="s">
        <v>85</v>
      </c>
      <c r="B4" s="38">
        <v>96</v>
      </c>
      <c r="C4" s="23"/>
      <c r="D4" s="23">
        <f>B4*$D$1</f>
        <v>2438.3999999999996</v>
      </c>
      <c r="E4" s="24"/>
      <c r="I4" s="8" t="s">
        <v>150</v>
      </c>
      <c r="J4" s="8">
        <v>1</v>
      </c>
      <c r="L4" s="8" t="s">
        <v>159</v>
      </c>
      <c r="M4" s="8">
        <v>5</v>
      </c>
      <c r="O4" s="8" t="s">
        <v>147</v>
      </c>
      <c r="P4" s="8">
        <v>2</v>
      </c>
      <c r="R4" s="8" t="s">
        <v>170</v>
      </c>
      <c r="S4" s="8">
        <v>1</v>
      </c>
      <c r="U4" s="8" t="s">
        <v>175</v>
      </c>
      <c r="V4" s="8">
        <v>1</v>
      </c>
      <c r="X4" s="8" t="s">
        <v>186</v>
      </c>
      <c r="Y4" s="8">
        <v>1</v>
      </c>
      <c r="AA4" s="8" t="s">
        <v>181</v>
      </c>
      <c r="AB4" s="8">
        <v>1.22</v>
      </c>
      <c r="AD4" s="8" t="s">
        <v>155</v>
      </c>
      <c r="AE4" s="8">
        <v>2</v>
      </c>
      <c r="AG4" s="8" t="s">
        <v>194</v>
      </c>
      <c r="AH4" s="8">
        <v>3</v>
      </c>
      <c r="AJ4" s="8" t="s">
        <v>233</v>
      </c>
      <c r="AK4" s="8">
        <v>2</v>
      </c>
      <c r="AM4" s="8" t="s">
        <v>236</v>
      </c>
      <c r="AN4" s="8">
        <v>0</v>
      </c>
    </row>
    <row r="5" spans="1:40" x14ac:dyDescent="0.25">
      <c r="A5" s="26" t="s">
        <v>86</v>
      </c>
      <c r="B5" s="32">
        <v>90</v>
      </c>
      <c r="C5" s="8"/>
      <c r="D5" s="8">
        <f>B5*$D$1</f>
        <v>2286</v>
      </c>
      <c r="E5" s="25"/>
      <c r="L5" s="8" t="s">
        <v>160</v>
      </c>
      <c r="M5" s="8">
        <v>7</v>
      </c>
      <c r="O5" s="8" t="s">
        <v>148</v>
      </c>
      <c r="P5" s="8">
        <v>3</v>
      </c>
      <c r="R5" s="8" t="s">
        <v>171</v>
      </c>
      <c r="S5" s="8">
        <v>2</v>
      </c>
      <c r="X5" s="8" t="s">
        <v>187</v>
      </c>
      <c r="Y5" s="8">
        <v>2</v>
      </c>
      <c r="AA5" s="8" t="s">
        <v>182</v>
      </c>
      <c r="AB5" s="8">
        <v>0.9</v>
      </c>
      <c r="AD5" s="8" t="s">
        <v>156</v>
      </c>
      <c r="AE5" s="8">
        <v>3</v>
      </c>
      <c r="AG5" s="8" t="s">
        <v>195</v>
      </c>
      <c r="AH5" s="8">
        <v>2</v>
      </c>
    </row>
    <row r="6" spans="1:40" x14ac:dyDescent="0.25">
      <c r="A6" s="49" t="s">
        <v>211</v>
      </c>
      <c r="B6" s="47">
        <f>15</f>
        <v>15</v>
      </c>
      <c r="C6" s="47"/>
      <c r="D6" s="47">
        <f>B6*$D$1</f>
        <v>381</v>
      </c>
      <c r="E6" s="50" t="s">
        <v>229</v>
      </c>
      <c r="L6" s="8" t="s">
        <v>164</v>
      </c>
      <c r="M6" s="8">
        <v>1</v>
      </c>
      <c r="R6" s="8" t="s">
        <v>172</v>
      </c>
      <c r="S6" s="8">
        <v>3</v>
      </c>
      <c r="X6" s="8" t="s">
        <v>188</v>
      </c>
      <c r="Y6" s="8">
        <v>3</v>
      </c>
      <c r="AD6" s="8" t="s">
        <v>157</v>
      </c>
      <c r="AE6" s="8">
        <v>4</v>
      </c>
    </row>
    <row r="7" spans="1:40" x14ac:dyDescent="0.25">
      <c r="A7" s="26" t="s">
        <v>224</v>
      </c>
      <c r="B7" s="32">
        <v>6</v>
      </c>
      <c r="C7" s="8"/>
      <c r="D7" s="8">
        <f>B7*$D$1</f>
        <v>152.39999999999998</v>
      </c>
      <c r="E7" s="25"/>
      <c r="R7" s="8" t="s">
        <v>173</v>
      </c>
      <c r="S7" s="8">
        <v>4</v>
      </c>
      <c r="X7" s="8" t="s">
        <v>189</v>
      </c>
      <c r="Y7" s="8">
        <v>4</v>
      </c>
      <c r="AD7" s="8" t="s">
        <v>185</v>
      </c>
      <c r="AE7" s="8">
        <v>0</v>
      </c>
    </row>
    <row r="8" spans="1:40" x14ac:dyDescent="0.25">
      <c r="A8" s="49" t="s">
        <v>228</v>
      </c>
      <c r="B8" s="48">
        <f>D8/D1</f>
        <v>30.403937007874017</v>
      </c>
      <c r="C8" s="47"/>
      <c r="D8" s="48">
        <f>(30.5-2*D48/25.4)*25.4</f>
        <v>772.26</v>
      </c>
      <c r="E8" s="50" t="s">
        <v>229</v>
      </c>
      <c r="X8" s="8" t="s">
        <v>191</v>
      </c>
      <c r="Y8" s="8">
        <v>5</v>
      </c>
    </row>
    <row r="9" spans="1:40" x14ac:dyDescent="0.25">
      <c r="A9" s="49" t="s">
        <v>226</v>
      </c>
      <c r="B9" s="48">
        <f>D9/$D$1</f>
        <v>17.192125984251962</v>
      </c>
      <c r="C9" s="47"/>
      <c r="D9" s="48">
        <f>D5-D7-D10-2*D8</f>
        <v>436.67999999999984</v>
      </c>
      <c r="E9" s="50"/>
      <c r="X9" s="8" t="s">
        <v>199</v>
      </c>
      <c r="Y9" s="8">
        <v>6</v>
      </c>
    </row>
    <row r="10" spans="1:40" ht="15.75" thickBot="1" x14ac:dyDescent="0.3">
      <c r="A10" s="51" t="s">
        <v>225</v>
      </c>
      <c r="B10" s="52">
        <f>E10</f>
        <v>6</v>
      </c>
      <c r="C10" s="52"/>
      <c r="D10" s="52">
        <f>B10*$D$1</f>
        <v>152.39999999999998</v>
      </c>
      <c r="E10" s="53">
        <f>B7</f>
        <v>6</v>
      </c>
      <c r="X10" s="8" t="s">
        <v>200</v>
      </c>
      <c r="Y10" s="8">
        <v>7</v>
      </c>
    </row>
    <row r="11" spans="1:40" x14ac:dyDescent="0.25">
      <c r="A11" s="21" t="s">
        <v>167</v>
      </c>
      <c r="B11" s="22" t="s">
        <v>174</v>
      </c>
      <c r="C11" s="23"/>
      <c r="D11" s="23">
        <f>_xlfn.XLOOKUP(B11,U3:U4,V3:V4,0,1)</f>
        <v>0</v>
      </c>
      <c r="E11" s="24"/>
    </row>
    <row r="12" spans="1:40" ht="15.75" thickBot="1" x14ac:dyDescent="0.3">
      <c r="A12" s="29" t="s">
        <v>230</v>
      </c>
      <c r="B12" s="20" t="s">
        <v>235</v>
      </c>
      <c r="C12" s="19"/>
      <c r="D12" s="19">
        <f>_xlfn.XLOOKUP(B12,AM3:AM4,AN3:AN4,AN3,0,1)</f>
        <v>1</v>
      </c>
      <c r="E12" s="30"/>
    </row>
    <row r="13" spans="1:40" x14ac:dyDescent="0.25">
      <c r="A13" s="21" t="s">
        <v>95</v>
      </c>
      <c r="B13" s="22" t="s">
        <v>147</v>
      </c>
      <c r="C13" s="23"/>
      <c r="D13" s="23">
        <f>_xlfn.XLOOKUP(B13,O3:O5,P3:P5,P3,0,1)</f>
        <v>2</v>
      </c>
      <c r="E13" s="24"/>
    </row>
    <row r="14" spans="1:40" x14ac:dyDescent="0.25">
      <c r="A14" s="26" t="s">
        <v>168</v>
      </c>
      <c r="B14" s="9" t="s">
        <v>170</v>
      </c>
      <c r="C14" s="8"/>
      <c r="D14" s="8">
        <f>_xlfn.XLOOKUP(B14,R3:R7,S3:S7,S3,0,1)</f>
        <v>1</v>
      </c>
      <c r="E14" s="25"/>
    </row>
    <row r="15" spans="1:40" x14ac:dyDescent="0.25">
      <c r="A15" s="26" t="s">
        <v>190</v>
      </c>
      <c r="B15" s="9" t="s">
        <v>198</v>
      </c>
      <c r="C15" s="8"/>
      <c r="D15" s="8">
        <f>_xlfn.XLOOKUP(B15,X3:X10,Y3:Y10,Y3,0,1)</f>
        <v>0</v>
      </c>
      <c r="E15" s="25"/>
    </row>
    <row r="16" spans="1:40" x14ac:dyDescent="0.25">
      <c r="A16" s="26" t="s">
        <v>276</v>
      </c>
      <c r="B16" s="9" t="s">
        <v>233</v>
      </c>
      <c r="C16" s="8"/>
      <c r="D16" s="8">
        <f>_xlfn.XLOOKUP(B16,AJ3:AJ4,AK3:AK4,AK3,0,1)</f>
        <v>2</v>
      </c>
      <c r="E16" s="25"/>
    </row>
    <row r="17" spans="1:7" x14ac:dyDescent="0.25">
      <c r="A17" s="26" t="s">
        <v>277</v>
      </c>
      <c r="B17" s="9" t="s">
        <v>232</v>
      </c>
      <c r="C17" s="8"/>
      <c r="D17" s="8">
        <f>_xlfn.XLOOKUP(B17,AJ3:AJ4,AK3:AK4,AK3,0,1)</f>
        <v>1</v>
      </c>
      <c r="E17" s="25"/>
    </row>
    <row r="18" spans="1:7" x14ac:dyDescent="0.25">
      <c r="A18" s="26" t="s">
        <v>278</v>
      </c>
      <c r="B18" s="9" t="s">
        <v>233</v>
      </c>
      <c r="C18" s="8"/>
      <c r="D18" s="8">
        <f>_xlfn.XLOOKUP(B18,AJ3:AJ4,AK3:AK4,AK3,0,1)</f>
        <v>2</v>
      </c>
      <c r="E18" s="25"/>
    </row>
    <row r="19" spans="1:7" ht="15.75" thickBot="1" x14ac:dyDescent="0.3">
      <c r="A19" s="29" t="s">
        <v>192</v>
      </c>
      <c r="B19" s="20" t="s">
        <v>194</v>
      </c>
      <c r="C19" s="19"/>
      <c r="D19" s="19">
        <f>_xlfn.XLOOKUP(B19,AG3:AG5,AH3:AH5,AH3,0,1)</f>
        <v>3</v>
      </c>
      <c r="E19" s="30"/>
    </row>
    <row r="20" spans="1:7" x14ac:dyDescent="0.25">
      <c r="A20" s="21" t="s">
        <v>96</v>
      </c>
      <c r="B20" s="38">
        <v>10</v>
      </c>
      <c r="C20" s="23"/>
      <c r="D20" s="23">
        <f t="shared" ref="D20:D24" si="0">B20*$D$1</f>
        <v>254</v>
      </c>
      <c r="E20" s="24"/>
    </row>
    <row r="21" spans="1:7" x14ac:dyDescent="0.25">
      <c r="A21" s="26" t="s">
        <v>227</v>
      </c>
      <c r="B21" s="32">
        <v>8</v>
      </c>
      <c r="C21" s="8"/>
      <c r="D21" s="8">
        <f t="shared" si="0"/>
        <v>203.2</v>
      </c>
      <c r="E21" s="25"/>
    </row>
    <row r="22" spans="1:7" x14ac:dyDescent="0.25">
      <c r="A22" s="26" t="s">
        <v>97</v>
      </c>
      <c r="B22" s="32">
        <v>4</v>
      </c>
      <c r="C22" s="8"/>
      <c r="D22" s="8">
        <f t="shared" si="0"/>
        <v>101.6</v>
      </c>
      <c r="E22" s="25"/>
    </row>
    <row r="23" spans="1:7" x14ac:dyDescent="0.25">
      <c r="A23" s="49" t="s">
        <v>239</v>
      </c>
      <c r="B23" s="47">
        <f>E23</f>
        <v>24</v>
      </c>
      <c r="C23" s="47"/>
      <c r="D23" s="47">
        <f t="shared" si="0"/>
        <v>609.59999999999991</v>
      </c>
      <c r="E23" s="50">
        <f>B4/D13/2</f>
        <v>24</v>
      </c>
    </row>
    <row r="24" spans="1:7" ht="15.75" thickBot="1" x14ac:dyDescent="0.3">
      <c r="A24" s="51" t="s">
        <v>240</v>
      </c>
      <c r="B24" s="47">
        <f>E24</f>
        <v>48</v>
      </c>
      <c r="C24" s="52"/>
      <c r="D24" s="52">
        <f t="shared" si="0"/>
        <v>1219.1999999999998</v>
      </c>
      <c r="E24" s="53">
        <f>B4/D13</f>
        <v>48</v>
      </c>
    </row>
    <row r="25" spans="1:7" x14ac:dyDescent="0.25">
      <c r="A25" s="21" t="s">
        <v>98</v>
      </c>
      <c r="B25" s="22" t="s">
        <v>160</v>
      </c>
      <c r="C25" s="23"/>
      <c r="D25" s="23">
        <f>_xlfn.XLOOKUP(B25,L3:L6,M3:M6,M3,0,1)</f>
        <v>7</v>
      </c>
      <c r="E25" s="24"/>
    </row>
    <row r="26" spans="1:7" x14ac:dyDescent="0.25">
      <c r="A26" s="49" t="s">
        <v>183</v>
      </c>
      <c r="B26" s="47">
        <f>E26</f>
        <v>3</v>
      </c>
      <c r="C26" s="47"/>
      <c r="D26" s="47">
        <f>B26</f>
        <v>3</v>
      </c>
      <c r="E26" s="50">
        <f>IF(B4&gt;=156,5,IF(B4&gt;=120,4, IF(B4&gt;=84,3,IF(B4&gt;=48,2,1 ))))</f>
        <v>3</v>
      </c>
    </row>
    <row r="27" spans="1:7" x14ac:dyDescent="0.25">
      <c r="A27" s="49" t="s">
        <v>184</v>
      </c>
      <c r="B27" s="47">
        <f>E27</f>
        <v>45</v>
      </c>
      <c r="C27" s="47"/>
      <c r="D27" s="47">
        <f>B27*$D$1</f>
        <v>1143</v>
      </c>
      <c r="E27" s="50">
        <f>B8+B7+B9/2</f>
        <v>45</v>
      </c>
    </row>
    <row r="28" spans="1:7" x14ac:dyDescent="0.25">
      <c r="A28" s="49" t="s">
        <v>238</v>
      </c>
      <c r="B28" s="47">
        <f>E28</f>
        <v>16</v>
      </c>
      <c r="C28" s="47"/>
      <c r="D28" s="47">
        <f>B28*$D$1</f>
        <v>406.4</v>
      </c>
      <c r="E28" s="50">
        <f>B4/B26/2</f>
        <v>16</v>
      </c>
    </row>
    <row r="29" spans="1:7" ht="15.75" thickBot="1" x14ac:dyDescent="0.3">
      <c r="A29" s="51" t="s">
        <v>237</v>
      </c>
      <c r="B29" s="52">
        <f>E29</f>
        <v>32</v>
      </c>
      <c r="C29" s="52"/>
      <c r="D29" s="52">
        <f>B29*$D$1</f>
        <v>812.8</v>
      </c>
      <c r="E29" s="53">
        <f>B4/B26</f>
        <v>32</v>
      </c>
    </row>
    <row r="30" spans="1:7" x14ac:dyDescent="0.25">
      <c r="A30" s="21" t="s">
        <v>128</v>
      </c>
      <c r="B30" s="22" t="s">
        <v>154</v>
      </c>
      <c r="C30" s="23"/>
      <c r="D30" s="23">
        <f>_xlfn.XLOOKUP(B30,AD3:AD7,AE3:AE7,AE3,0,1)</f>
        <v>1</v>
      </c>
      <c r="E30" s="24"/>
    </row>
    <row r="31" spans="1:7" x14ac:dyDescent="0.25">
      <c r="A31" s="26" t="s">
        <v>165</v>
      </c>
      <c r="B31" s="32">
        <v>1</v>
      </c>
      <c r="C31" s="8"/>
      <c r="D31" s="8">
        <f>B31</f>
        <v>1</v>
      </c>
      <c r="E31" s="25"/>
    </row>
    <row r="32" spans="1:7" x14ac:dyDescent="0.25">
      <c r="A32" s="26" t="s">
        <v>223</v>
      </c>
      <c r="B32" s="32">
        <v>38</v>
      </c>
      <c r="C32" s="8"/>
      <c r="D32" s="8">
        <f>B32*$D$1</f>
        <v>965.19999999999993</v>
      </c>
      <c r="E32" s="25"/>
      <c r="F32" s="57">
        <f>B7+B8</f>
        <v>36.403937007874021</v>
      </c>
      <c r="G32">
        <f>B27</f>
        <v>45</v>
      </c>
    </row>
    <row r="33" spans="1:7" x14ac:dyDescent="0.25">
      <c r="A33" s="26" t="s">
        <v>212</v>
      </c>
      <c r="B33" s="32">
        <v>6</v>
      </c>
      <c r="C33" s="8"/>
      <c r="D33" s="8">
        <f>B33*$D$1</f>
        <v>152.39999999999998</v>
      </c>
      <c r="E33" s="25"/>
      <c r="G33" t="s">
        <v>59</v>
      </c>
    </row>
    <row r="34" spans="1:7" x14ac:dyDescent="0.25">
      <c r="A34" s="26" t="s">
        <v>213</v>
      </c>
      <c r="B34" s="32">
        <v>6</v>
      </c>
      <c r="C34" s="8"/>
      <c r="D34" s="8">
        <f t="shared" ref="D34:D36" si="1">B34*$D$1</f>
        <v>152.39999999999998</v>
      </c>
      <c r="E34" s="25"/>
    </row>
    <row r="35" spans="1:7" x14ac:dyDescent="0.25">
      <c r="A35" s="26" t="s">
        <v>214</v>
      </c>
      <c r="B35" s="32">
        <v>6</v>
      </c>
      <c r="C35" s="8"/>
      <c r="D35" s="8">
        <f t="shared" si="1"/>
        <v>152.39999999999998</v>
      </c>
      <c r="E35" s="25"/>
    </row>
    <row r="36" spans="1:7" x14ac:dyDescent="0.25">
      <c r="A36" s="26" t="s">
        <v>215</v>
      </c>
      <c r="B36" s="32">
        <v>6</v>
      </c>
      <c r="C36" s="8"/>
      <c r="D36" s="8">
        <f t="shared" si="1"/>
        <v>152.39999999999998</v>
      </c>
      <c r="E36" s="25"/>
    </row>
    <row r="37" spans="1:7" x14ac:dyDescent="0.25">
      <c r="A37" s="26" t="s">
        <v>216</v>
      </c>
      <c r="B37" s="32">
        <v>6</v>
      </c>
      <c r="C37" s="8"/>
      <c r="D37" s="8">
        <f t="shared" ref="D37:D42" si="2">B37*$D$1</f>
        <v>152.39999999999998</v>
      </c>
      <c r="E37" s="25"/>
    </row>
    <row r="38" spans="1:7" x14ac:dyDescent="0.25">
      <c r="A38" s="26" t="s">
        <v>217</v>
      </c>
      <c r="B38" s="32">
        <v>6</v>
      </c>
      <c r="C38" s="8"/>
      <c r="D38" s="8">
        <f t="shared" si="2"/>
        <v>152.39999999999998</v>
      </c>
      <c r="E38" s="25"/>
    </row>
    <row r="39" spans="1:7" x14ac:dyDescent="0.25">
      <c r="A39" s="26" t="s">
        <v>218</v>
      </c>
      <c r="B39" s="32">
        <v>6</v>
      </c>
      <c r="C39" s="8"/>
      <c r="D39" s="8">
        <f t="shared" si="2"/>
        <v>152.39999999999998</v>
      </c>
      <c r="E39" s="25"/>
    </row>
    <row r="40" spans="1:7" x14ac:dyDescent="0.25">
      <c r="A40" s="26" t="s">
        <v>219</v>
      </c>
      <c r="B40" s="32">
        <v>6</v>
      </c>
      <c r="C40" s="8"/>
      <c r="D40" s="8">
        <f t="shared" si="2"/>
        <v>152.39999999999998</v>
      </c>
      <c r="E40" s="25"/>
    </row>
    <row r="41" spans="1:7" x14ac:dyDescent="0.25">
      <c r="A41" s="26" t="s">
        <v>220</v>
      </c>
      <c r="B41" s="32">
        <v>6</v>
      </c>
      <c r="C41" s="8"/>
      <c r="D41" s="8">
        <f t="shared" si="2"/>
        <v>152.39999999999998</v>
      </c>
      <c r="E41" s="25"/>
    </row>
    <row r="42" spans="1:7" x14ac:dyDescent="0.25">
      <c r="A42" s="26" t="s">
        <v>221</v>
      </c>
      <c r="B42" s="32">
        <v>6</v>
      </c>
      <c r="C42" s="8"/>
      <c r="D42" s="8">
        <f t="shared" si="2"/>
        <v>152.39999999999998</v>
      </c>
      <c r="E42" s="25"/>
    </row>
    <row r="43" spans="1:7" ht="15.75" thickBot="1" x14ac:dyDescent="0.3">
      <c r="A43" s="29" t="s">
        <v>222</v>
      </c>
      <c r="B43" s="46">
        <v>6</v>
      </c>
      <c r="C43" s="19"/>
      <c r="D43" s="19">
        <f t="shared" ref="D43" si="3">B43*$D$1</f>
        <v>152.39999999999998</v>
      </c>
      <c r="E43" s="30"/>
    </row>
    <row r="44" spans="1:7" x14ac:dyDescent="0.25">
      <c r="A44" s="54" t="s">
        <v>99</v>
      </c>
      <c r="B44" s="55">
        <v>497</v>
      </c>
      <c r="C44" s="55"/>
      <c r="D44" s="55">
        <f>B44</f>
        <v>497</v>
      </c>
      <c r="E44" s="24"/>
    </row>
    <row r="45" spans="1:7" x14ac:dyDescent="0.25">
      <c r="A45" s="49" t="s">
        <v>100</v>
      </c>
      <c r="B45" s="47">
        <v>13</v>
      </c>
      <c r="C45" s="47"/>
      <c r="D45" s="47">
        <f>B45</f>
        <v>13</v>
      </c>
      <c r="E45" s="25"/>
    </row>
    <row r="46" spans="1:7" x14ac:dyDescent="0.25">
      <c r="A46" s="49" t="s">
        <v>166</v>
      </c>
      <c r="B46" s="47">
        <v>0.375</v>
      </c>
      <c r="C46" s="47"/>
      <c r="D46" s="47">
        <f>B46*$D$1</f>
        <v>9.5249999999999986</v>
      </c>
      <c r="E46" s="25"/>
    </row>
    <row r="47" spans="1:7" x14ac:dyDescent="0.25">
      <c r="A47" s="49" t="s">
        <v>177</v>
      </c>
      <c r="B47" s="47">
        <v>286</v>
      </c>
      <c r="C47" s="47"/>
      <c r="D47" s="47">
        <f>B47</f>
        <v>286</v>
      </c>
      <c r="E47" s="25"/>
    </row>
    <row r="48" spans="1:7" ht="15.75" thickBot="1" x14ac:dyDescent="0.3">
      <c r="A48" s="56" t="s">
        <v>179</v>
      </c>
      <c r="B48" s="27" t="s">
        <v>181</v>
      </c>
      <c r="C48" s="27"/>
      <c r="D48" s="27">
        <f>_xlfn.XLOOKUP(B48,AA3:AA5,AB3:AB5,AB4,0,1)</f>
        <v>1.22</v>
      </c>
      <c r="E48" s="28"/>
    </row>
    <row r="59" ht="14.25" customHeight="1" x14ac:dyDescent="0.25"/>
  </sheetData>
  <dataConsolidate/>
  <phoneticPr fontId="10" type="noConversion"/>
  <conditionalFormatting sqref="B10:B12">
    <cfRule type="expression" dxfId="54" priority="29">
      <formula>$B$10&lt;&gt;$E$10</formula>
    </cfRule>
  </conditionalFormatting>
  <conditionalFormatting sqref="B15">
    <cfRule type="expression" dxfId="53" priority="857">
      <formula>AND($D$11=0,$D$15&lt;&gt;0)</formula>
    </cfRule>
  </conditionalFormatting>
  <conditionalFormatting sqref="B16">
    <cfRule type="expression" dxfId="52" priority="19">
      <formula>$D$13&lt;1</formula>
    </cfRule>
  </conditionalFormatting>
  <conditionalFormatting sqref="B16:B18">
    <cfRule type="expression" dxfId="51" priority="20">
      <formula>NOT(OR($D$15=3,$D$15=5))</formula>
    </cfRule>
  </conditionalFormatting>
  <conditionalFormatting sqref="B17">
    <cfRule type="expression" dxfId="50" priority="18">
      <formula>$D$13&lt;3</formula>
    </cfRule>
  </conditionalFormatting>
  <conditionalFormatting sqref="B18">
    <cfRule type="expression" dxfId="49" priority="17">
      <formula>$D$13&lt;2</formula>
    </cfRule>
  </conditionalFormatting>
  <conditionalFormatting sqref="B19">
    <cfRule type="expression" dxfId="48" priority="1">
      <formula>$D$11=0</formula>
    </cfRule>
  </conditionalFormatting>
  <conditionalFormatting sqref="B23">
    <cfRule type="expression" dxfId="47" priority="26">
      <formula>$B$23&lt;&gt;$E$23</formula>
    </cfRule>
  </conditionalFormatting>
  <conditionalFormatting sqref="B24">
    <cfRule type="expression" dxfId="46" priority="28">
      <formula>$B$24&lt;&gt;$E$24</formula>
    </cfRule>
  </conditionalFormatting>
  <conditionalFormatting sqref="B26">
    <cfRule type="expression" dxfId="45" priority="25">
      <formula>$B$26&lt;&gt;$E$26</formula>
    </cfRule>
  </conditionalFormatting>
  <conditionalFormatting sqref="B27">
    <cfRule type="expression" dxfId="44" priority="24">
      <formula>$B$27&lt;&gt;$E$27</formula>
    </cfRule>
  </conditionalFormatting>
  <conditionalFormatting sqref="B28">
    <cfRule type="expression" dxfId="43" priority="23">
      <formula>$B$28&lt;&gt;$E$28</formula>
    </cfRule>
  </conditionalFormatting>
  <conditionalFormatting sqref="B29">
    <cfRule type="expression" dxfId="42" priority="22">
      <formula>$B$29&lt;&gt;$E$29</formula>
    </cfRule>
  </conditionalFormatting>
  <conditionalFormatting sqref="B31:B43">
    <cfRule type="expression" dxfId="41" priority="16">
      <formula>$D$30=0</formula>
    </cfRule>
  </conditionalFormatting>
  <conditionalFormatting sqref="B32:B33">
    <cfRule type="expression" dxfId="40" priority="15">
      <formula>$D$31&lt;1</formula>
    </cfRule>
  </conditionalFormatting>
  <conditionalFormatting sqref="B34">
    <cfRule type="expression" dxfId="39" priority="10">
      <formula>$D$31&lt;2</formula>
    </cfRule>
  </conditionalFormatting>
  <conditionalFormatting sqref="B35">
    <cfRule type="expression" dxfId="38" priority="11">
      <formula>$D$31&lt;3</formula>
    </cfRule>
  </conditionalFormatting>
  <conditionalFormatting sqref="B36">
    <cfRule type="expression" dxfId="37" priority="9">
      <formula>$D$31&lt;4</formula>
    </cfRule>
  </conditionalFormatting>
  <conditionalFormatting sqref="B37">
    <cfRule type="expression" dxfId="36" priority="8">
      <formula>$D$31&lt;5</formula>
    </cfRule>
  </conditionalFormatting>
  <conditionalFormatting sqref="B38">
    <cfRule type="expression" dxfId="35" priority="7">
      <formula>$D$31&lt;6</formula>
    </cfRule>
  </conditionalFormatting>
  <conditionalFormatting sqref="B39">
    <cfRule type="expression" dxfId="34" priority="6">
      <formula>$D$31&lt;7</formula>
    </cfRule>
  </conditionalFormatting>
  <conditionalFormatting sqref="B40">
    <cfRule type="expression" dxfId="33" priority="5">
      <formula>$D$31&lt;8</formula>
    </cfRule>
  </conditionalFormatting>
  <conditionalFormatting sqref="B41">
    <cfRule type="expression" dxfId="32" priority="4">
      <formula>$D$31&lt;9</formula>
    </cfRule>
  </conditionalFormatting>
  <conditionalFormatting sqref="B42">
    <cfRule type="expression" dxfId="31" priority="3">
      <formula>$D$31&lt;10</formula>
    </cfRule>
  </conditionalFormatting>
  <conditionalFormatting sqref="B43">
    <cfRule type="expression" dxfId="30" priority="2">
      <formula>$D$31&lt;11</formula>
    </cfRule>
  </conditionalFormatting>
  <dataValidations count="12">
    <dataValidation type="list" allowBlank="1" showInputMessage="1" showErrorMessage="1" sqref="B1" xr:uid="{D3A542AE-81FF-4336-8F9F-78A1CA055355}">
      <formula1>$I$3:$I$4</formula1>
    </dataValidation>
    <dataValidation type="list" allowBlank="1" showInputMessage="1" showErrorMessage="1" sqref="B25" xr:uid="{E35DA5B8-7BF5-4FC9-A09E-629E93CA9D43}">
      <formula1>$L$3:$L$6</formula1>
    </dataValidation>
    <dataValidation type="list" allowBlank="1" showInputMessage="1" showErrorMessage="1" sqref="B13" xr:uid="{51734916-520E-4B29-8C5C-9B674BD04921}">
      <formula1>$O$3:$O$5</formula1>
    </dataValidation>
    <dataValidation type="list" allowBlank="1" showInputMessage="1" showErrorMessage="1" sqref="B14" xr:uid="{A593437E-A3E0-4EEB-B99B-AADA90233941}">
      <formula1>$R$3:$R$7</formula1>
    </dataValidation>
    <dataValidation type="list" allowBlank="1" showInputMessage="1" showErrorMessage="1" sqref="B11" xr:uid="{48D4D808-792B-4B72-AD11-A796118EBA4B}">
      <formula1>$U$3:$U$4</formula1>
    </dataValidation>
    <dataValidation type="list" allowBlank="1" showInputMessage="1" showErrorMessage="1" sqref="B15" xr:uid="{B359F82C-CA41-42E5-AA54-28A311C88268}">
      <formula1>$X$3:$X$10</formula1>
    </dataValidation>
    <dataValidation type="list" allowBlank="1" showInputMessage="1" showErrorMessage="1" sqref="B48" xr:uid="{BAA9E421-34DE-442A-930C-DDA505114568}">
      <formula1>$AA$3:$AA$5</formula1>
    </dataValidation>
    <dataValidation type="list" allowBlank="1" showInputMessage="1" showErrorMessage="1" sqref="B30" xr:uid="{83D29633-152F-4D13-93F3-402A03ACB5EE}">
      <formula1>$AD$3:$AD$7</formula1>
    </dataValidation>
    <dataValidation type="list" allowBlank="1" showInputMessage="1" showErrorMessage="1" sqref="B19" xr:uid="{B389D22C-9726-46AE-8FE1-DEA16D5F4F1A}">
      <formula1>$AG$3:$AG$5</formula1>
    </dataValidation>
    <dataValidation type="list" allowBlank="1" showInputMessage="1" showErrorMessage="1" sqref="B16:B18" xr:uid="{31E0F752-2BE9-4DDD-B234-AD2F110BC957}">
      <formula1>$AJ$3:$AJ$4</formula1>
    </dataValidation>
    <dataValidation type="list" allowBlank="1" showInputMessage="1" showErrorMessage="1" sqref="B12" xr:uid="{743979C1-A17B-43E3-B304-B610F5B6DF2A}">
      <formula1>$AM$3:$AM$4</formula1>
    </dataValidation>
    <dataValidation type="list" allowBlank="1" showInputMessage="1" showErrorMessage="1" sqref="B31" xr:uid="{A38B792A-385C-4056-9222-ABA5CA05567C}">
      <formula1>"0,1,2,3,4,5,6,7,8,9,10,11"</formula1>
    </dataValidation>
  </dataValidations>
  <pageMargins left="0.7" right="0.7" top="0.75" bottom="0.75" header="0.3" footer="0.3"/>
  <pageSetup paperSize="9"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7"/>
  <sheetViews>
    <sheetView topLeftCell="A20" workbookViewId="0">
      <selection activeCell="D97" sqref="D97"/>
    </sheetView>
  </sheetViews>
  <sheetFormatPr defaultRowHeight="15" x14ac:dyDescent="0.25"/>
  <cols>
    <col min="1" max="1" width="16.28515625" style="8" customWidth="1"/>
    <col min="2" max="2" width="67.140625" style="8" bestFit="1" customWidth="1"/>
    <col min="3" max="3" width="147.5703125" style="8" bestFit="1" customWidth="1"/>
    <col min="4" max="4" width="3.5703125" style="8" bestFit="1" customWidth="1"/>
    <col min="5" max="5" width="10.85546875" style="8" customWidth="1"/>
    <col min="6" max="6" width="0.140625" style="8" customWidth="1"/>
    <col min="7" max="7" width="26.28515625" style="8" bestFit="1" customWidth="1"/>
  </cols>
  <sheetData>
    <row r="1" spans="1:7" ht="22.5" x14ac:dyDescent="0.3">
      <c r="A1" s="66" t="s">
        <v>2</v>
      </c>
      <c r="B1" s="66"/>
      <c r="C1" s="66"/>
      <c r="D1" s="66"/>
      <c r="E1" s="66"/>
      <c r="F1" s="66"/>
      <c r="G1" s="66"/>
    </row>
    <row r="2" spans="1:7" ht="30" x14ac:dyDescent="0.25">
      <c r="A2" s="12" t="s">
        <v>3</v>
      </c>
      <c r="B2" s="12" t="s">
        <v>4</v>
      </c>
      <c r="C2" s="12" t="s">
        <v>5</v>
      </c>
      <c r="D2" s="14" t="s">
        <v>6</v>
      </c>
      <c r="E2" s="12" t="s">
        <v>66</v>
      </c>
      <c r="F2" s="12"/>
      <c r="G2" s="12" t="s">
        <v>7</v>
      </c>
    </row>
    <row r="3" spans="1:7" x14ac:dyDescent="0.25">
      <c r="A3" s="8" t="s">
        <v>8</v>
      </c>
      <c r="B3" s="8" t="s">
        <v>52</v>
      </c>
      <c r="C3" s="8" t="b">
        <v>1</v>
      </c>
      <c r="D3" s="9" t="s">
        <v>55</v>
      </c>
    </row>
    <row r="4" spans="1:7" x14ac:dyDescent="0.25">
      <c r="A4" s="8" t="s">
        <v>21</v>
      </c>
      <c r="B4" s="8" t="s">
        <v>53</v>
      </c>
      <c r="C4" s="8" t="str">
        <f>"VC2V Hood Size: "&amp;'Model Data'!B4&amp;"X"&amp;'Model Data'!B5&amp;"X"&amp;'Model Data'!B6&amp;"X"&amp;'Model Data'!B7</f>
        <v>VC2V Hood Size: 96X90X15X6</v>
      </c>
      <c r="D4" s="9" t="s">
        <v>55</v>
      </c>
    </row>
    <row r="5" spans="1:7" x14ac:dyDescent="0.25">
      <c r="A5" s="8" t="s">
        <v>21</v>
      </c>
      <c r="B5" s="8" t="s">
        <v>153</v>
      </c>
      <c r="C5" s="8" t="str">
        <f>'Model Data'!B13&amp;IF('Model Data'!D15=0,""," with "&amp;'Model Data'!B15)&amp;" : L"&amp;'Model Data'!B20&amp;" W"&amp;'Model Data'!B21&amp;" H"&amp;'Model Data'!B22&amp;IF('Model Data'!D25=0,"",CHAR(10)&amp;'Model Data'!B25&amp;" Qty="&amp;'Model Data'!B26)</f>
        <v>2 Collars : L10 W8 H4
with HCL Lights Qty=3</v>
      </c>
      <c r="D5" s="9" t="s">
        <v>55</v>
      </c>
    </row>
    <row r="6" spans="1:7" x14ac:dyDescent="0.25">
      <c r="A6" s="8" t="s">
        <v>21</v>
      </c>
      <c r="B6" s="8" t="s">
        <v>54</v>
      </c>
      <c r="C6" s="8" t="str">
        <f>'Model Data'!B11&amp;", "&amp;'Model Data'!B12&amp;IF('Model Data'!D30=0,"",CHAR(10)&amp;'Model Data'!B30&amp;", Drops Qty="&amp;'Model Data'!B31)</f>
        <v>No Marvel, There is ThermStat
Ansul On Left, Drops Qty=1</v>
      </c>
      <c r="D6" s="9" t="s">
        <v>55</v>
      </c>
    </row>
    <row r="7" spans="1:7" x14ac:dyDescent="0.25">
      <c r="A7" s="8" t="s">
        <v>21</v>
      </c>
      <c r="B7" s="8" t="s">
        <v>201</v>
      </c>
      <c r="C7" s="8" t="str">
        <f>C4&amp;CHAR(10)&amp;"Crate Size: L"&amp;'Model Data'!B4+4&amp;" W"&amp;'Model Data'!B5+12&amp;" H"&amp;'Model Data'!B6+12&amp;CHAR(10)&amp;C5&amp;CHAR(10)&amp;C6</f>
        <v>VC2V Hood Size: 96X90X15X6
Crate Size: L100 W102 H27
2 Collars : L10 W8 H4
with HCL Lights Qty=3
No Marvel, There is ThermStat
Ansul On Left, Drops Qty=1</v>
      </c>
      <c r="D7" s="9" t="s">
        <v>55</v>
      </c>
    </row>
    <row r="8" spans="1:7" x14ac:dyDescent="0.25">
      <c r="A8" s="8" t="s">
        <v>27</v>
      </c>
      <c r="B8" s="8" t="s">
        <v>58</v>
      </c>
      <c r="C8" s="8" t="str">
        <f>IF(LEN(G8)&gt;10,"special",G8)</f>
        <v>special</v>
      </c>
      <c r="D8" s="9" t="s">
        <v>55</v>
      </c>
      <c r="E8" s="8" t="s">
        <v>90</v>
      </c>
      <c r="G8" s="18" t="str">
        <f>'Model Data'!B4&amp;'Model Data'!B5&amp;'Model Data'!B7&amp;'Model Data'!B10&amp;'Model Data'!D13&amp;'Model Data'!B20&amp;'Model Data'!B21&amp;'Model Data'!B22&amp;'Model Data'!D25&amp;'Model Data'!B26&amp;'Model Data'!D11&amp;'Model Data'!D12&amp;'Model Data'!D30&amp;'Model Data'!D31</f>
        <v>96906621084730111</v>
      </c>
    </row>
    <row r="9" spans="1:7" ht="15" customHeight="1" x14ac:dyDescent="0.25">
      <c r="A9" s="8" t="s">
        <v>50</v>
      </c>
      <c r="C9" s="8" t="s">
        <v>59</v>
      </c>
      <c r="D9" s="9" t="s">
        <v>55</v>
      </c>
    </row>
    <row r="10" spans="1:7" ht="15.75" customHeight="1" x14ac:dyDescent="0.25">
      <c r="A10" s="10" t="s">
        <v>48</v>
      </c>
      <c r="B10" s="10"/>
      <c r="C10" s="10"/>
      <c r="D10" s="10" t="s">
        <v>60</v>
      </c>
      <c r="E10" s="10"/>
      <c r="F10" s="10"/>
    </row>
    <row r="11" spans="1:7" ht="15.75" customHeight="1" x14ac:dyDescent="0.25">
      <c r="A11" s="8" t="s">
        <v>8</v>
      </c>
      <c r="B11" s="8" t="s">
        <v>250</v>
      </c>
      <c r="C11" s="8" t="b">
        <v>1</v>
      </c>
      <c r="D11" s="9" t="s">
        <v>55</v>
      </c>
    </row>
    <row r="12" spans="1:7" x14ac:dyDescent="0.25">
      <c r="A12" s="8" t="s">
        <v>31</v>
      </c>
      <c r="B12" s="8">
        <v>0</v>
      </c>
      <c r="C12" s="8" t="str">
        <f>"""CollarQty""="&amp;'Model Data'!D13&amp; " 'Qty Collars"</f>
        <v>"CollarQty"=2 'Qty Collars</v>
      </c>
      <c r="D12" s="9" t="s">
        <v>55</v>
      </c>
    </row>
    <row r="13" spans="1:7" x14ac:dyDescent="0.25">
      <c r="A13" s="8" t="s">
        <v>31</v>
      </c>
      <c r="B13" s="8">
        <v>1</v>
      </c>
      <c r="C13" s="8" t="str">
        <f>"""CollarFlangePosition""="&amp;'Model Data'!D14&amp; " '0 is no flanges, 1 top flange only, 2 topandbottom flangle, 3 bottom flange only,4 Marine Damper Flange"</f>
        <v>"CollarFlangePosition"=1 '0 is no flanges, 1 top flange only, 2 topandbottom flangle, 3 bottom flange only,4 Marine Damper Flange</v>
      </c>
      <c r="D13" s="9" t="s">
        <v>55</v>
      </c>
    </row>
    <row r="14" spans="1:7" x14ac:dyDescent="0.25">
      <c r="A14" s="8" t="s">
        <v>31</v>
      </c>
      <c r="B14" s="8">
        <v>2</v>
      </c>
      <c r="C14" s="8" t="str">
        <f>"""LightType""="&amp;'Model Data'!D25&amp; " 'IncandescentLight 1; FL48 2; FL36 3;Ril 4;Led 5;HCL USA 7"</f>
        <v>"LightType"=7 'IncandescentLight 1; FL48 2; FL36 3;Ril 4;Led 5;HCL USA 7</v>
      </c>
      <c r="D14" s="9" t="s">
        <v>55</v>
      </c>
    </row>
    <row r="15" spans="1:7" x14ac:dyDescent="0.25">
      <c r="A15" s="8" t="s">
        <v>31</v>
      </c>
      <c r="B15" s="8">
        <v>3</v>
      </c>
      <c r="C15" s="8" t="str">
        <f>"""QLight""="&amp;'Model Data'!D26&amp; " 'Qty Lights"</f>
        <v>"QLight"=3 'Qty Lights</v>
      </c>
      <c r="D15" s="9" t="s">
        <v>55</v>
      </c>
    </row>
    <row r="16" spans="1:7" x14ac:dyDescent="0.25">
      <c r="A16" s="8" t="s">
        <v>31</v>
      </c>
      <c r="B16" s="8">
        <v>4</v>
      </c>
      <c r="C16" s="8" t="str">
        <f>"""Marvel""="&amp;'Model Data'!D11&amp;" '0 no marvel, 1 Marvel Box top"</f>
        <v>"Marvel"=0 '0 no marvel, 1 Marvel Box top</v>
      </c>
      <c r="D16" s="9" t="s">
        <v>55</v>
      </c>
    </row>
    <row r="17" spans="1:4" x14ac:dyDescent="0.25">
      <c r="A17" s="8" t="s">
        <v>31</v>
      </c>
      <c r="B17" s="8">
        <v>5</v>
      </c>
      <c r="C17" s="8" t="str">
        <f>"""MarvelCollarLocation""="&amp;IF('Model Data'!D13=1,1,IF(AND('Model Data'!D13=2,'Model Data'!D19&lt;&gt;1),2,'Model Data'!D19))&amp; " '0 is no, 1 is Left, 2 is right,3 Mid"</f>
        <v>"MarvelCollarLocation"=2 '0 is no, 1 is Left, 2 is right,3 Mid</v>
      </c>
      <c r="D17" s="9" t="s">
        <v>55</v>
      </c>
    </row>
    <row r="18" spans="1:4" x14ac:dyDescent="0.25">
      <c r="A18" s="8" t="s">
        <v>31</v>
      </c>
      <c r="B18" s="8">
        <v>6</v>
      </c>
      <c r="C18" s="8" t="str">
        <f>"""ThermStat""="&amp;'Model Data'!D12&amp; " '0 no , 1 yes"</f>
        <v>"ThermStat"=1 '0 no , 1 yes</v>
      </c>
      <c r="D18" s="9" t="s">
        <v>55</v>
      </c>
    </row>
    <row r="19" spans="1:4" x14ac:dyDescent="0.25">
      <c r="A19" s="8" t="s">
        <v>31</v>
      </c>
      <c r="B19" s="8">
        <v>7</v>
      </c>
      <c r="C19" s="8" t="str">
        <f>"""ABDType""="&amp;'Model Data'!D15&amp; " '0 no ABD, 1 is ABD8 with Collar, 2 ABD6 only, 3 ABD6 with Access Panel, 4 is ABD6 with Collar,5 is ABD6 collar access,6 is MBD only, 7 MBD with Collar"</f>
        <v>"ABDType"=0 '0 no ABD, 1 is ABD8 with Collar, 2 ABD6 only, 3 ABD6 with Access Panel, 4 is ABD6 with Collar,5 is ABD6 collar access,6 is MBD only, 7 MBD with Collar</v>
      </c>
      <c r="D19" s="9" t="s">
        <v>55</v>
      </c>
    </row>
    <row r="20" spans="1:4" x14ac:dyDescent="0.25">
      <c r="A20" s="8" t="s">
        <v>31</v>
      </c>
      <c r="B20" s="8">
        <v>8</v>
      </c>
      <c r="C20" s="8" t="str">
        <f>"""AccessABDLocationLT""="&amp;'Model Data'!D16&amp; " '1 is Left, 2 is right"</f>
        <v>"AccessABDLocationLT"=2 '1 is Left, 2 is right</v>
      </c>
      <c r="D20" s="9" t="s">
        <v>55</v>
      </c>
    </row>
    <row r="21" spans="1:4" x14ac:dyDescent="0.25">
      <c r="A21" s="8" t="s">
        <v>31</v>
      </c>
      <c r="B21" s="8">
        <v>9</v>
      </c>
      <c r="C21" s="8" t="str">
        <f>"""AccessABDLocationMid""="&amp;'Model Data'!D17&amp; " '1 is Left, 2 is right"</f>
        <v>"AccessABDLocationMid"=1 '1 is Left, 2 is right</v>
      </c>
      <c r="D21" s="9" t="s">
        <v>55</v>
      </c>
    </row>
    <row r="22" spans="1:4" x14ac:dyDescent="0.25">
      <c r="A22" s="8" t="s">
        <v>31</v>
      </c>
      <c r="B22" s="8">
        <v>10</v>
      </c>
      <c r="C22" s="8" t="str">
        <f>"""AccessABDLocationRT""="&amp;'Model Data'!D18&amp; " '1 is Left, 2 is right"</f>
        <v>"AccessABDLocationRT"=2 '1 is Left, 2 is right</v>
      </c>
      <c r="D22" s="9" t="s">
        <v>55</v>
      </c>
    </row>
    <row r="23" spans="1:4" x14ac:dyDescent="0.25">
      <c r="A23" s="8" t="s">
        <v>31</v>
      </c>
      <c r="B23" s="8">
        <v>11</v>
      </c>
      <c r="C23" s="8" t="str">
        <f>"""Ansultype""="&amp;'Model Data'!D30&amp; " '0 is no ansul,1 Left, 2 Left Both, 3 Right , 4 Right Both"</f>
        <v>"Ansultype"=1 '0 is no ansul,1 Left, 2 Left Both, 3 Right , 4 Right Both</v>
      </c>
      <c r="D23" s="9" t="s">
        <v>55</v>
      </c>
    </row>
    <row r="24" spans="1:4" x14ac:dyDescent="0.25">
      <c r="A24" s="8" t="s">
        <v>31</v>
      </c>
      <c r="B24" s="8">
        <v>12</v>
      </c>
      <c r="C24" s="8" t="str">
        <f>"""AnsulDropQty""="&amp;'Model Data'!D31&amp; " 'Ansul Drop Qty"</f>
        <v>"AnsulDropQty"=1 'Ansul Drop Qty</v>
      </c>
      <c r="D24" s="9" t="s">
        <v>55</v>
      </c>
    </row>
    <row r="25" spans="1:4" x14ac:dyDescent="0.25">
      <c r="A25" s="8" t="s">
        <v>31</v>
      </c>
      <c r="B25" s="8">
        <v>13</v>
      </c>
      <c r="C25" s="8" t="str">
        <f>"""KSAtype""="&amp;'Model Data'!B45&amp; " '13 ksa, 16 Ksa"</f>
        <v>"KSAtype"=13 '13 ksa, 16 Ksa</v>
      </c>
      <c r="D25" s="9" t="s">
        <v>55</v>
      </c>
    </row>
    <row r="26" spans="1:4" x14ac:dyDescent="0.25">
      <c r="A26" s="8" t="s">
        <v>16</v>
      </c>
      <c r="B26" s="8" t="s">
        <v>251</v>
      </c>
      <c r="C26" s="8">
        <f>'Model Data'!D4/1000</f>
        <v>2.4383999999999997</v>
      </c>
      <c r="D26" s="9" t="s">
        <v>55</v>
      </c>
    </row>
    <row r="27" spans="1:4" x14ac:dyDescent="0.25">
      <c r="A27" s="8" t="s">
        <v>16</v>
      </c>
      <c r="B27" s="8" t="s">
        <v>178</v>
      </c>
      <c r="C27" s="8">
        <f>'Model Data'!D5/1000</f>
        <v>2.286</v>
      </c>
      <c r="D27" s="9" t="s">
        <v>55</v>
      </c>
    </row>
    <row r="28" spans="1:4" x14ac:dyDescent="0.25">
      <c r="A28" s="8" t="s">
        <v>16</v>
      </c>
      <c r="B28" s="8" t="s">
        <v>252</v>
      </c>
      <c r="C28" s="8">
        <f>'Model Data'!D6/1000</f>
        <v>0.38100000000000001</v>
      </c>
      <c r="D28" s="9" t="s">
        <v>55</v>
      </c>
    </row>
    <row r="29" spans="1:4" x14ac:dyDescent="0.25">
      <c r="A29" s="8" t="s">
        <v>16</v>
      </c>
      <c r="B29" s="8" t="s">
        <v>253</v>
      </c>
      <c r="C29" s="8">
        <f>'Model Data'!D7/1000</f>
        <v>0.15239999999999998</v>
      </c>
      <c r="D29" s="9" t="s">
        <v>55</v>
      </c>
    </row>
    <row r="30" spans="1:4" x14ac:dyDescent="0.25">
      <c r="A30" s="8" t="s">
        <v>16</v>
      </c>
      <c r="B30" s="8" t="s">
        <v>254</v>
      </c>
      <c r="C30" s="8">
        <f>'Model Data'!D10/1000</f>
        <v>0.15239999999999998</v>
      </c>
      <c r="D30" s="9" t="s">
        <v>55</v>
      </c>
    </row>
    <row r="31" spans="1:4" x14ac:dyDescent="0.25">
      <c r="A31" s="8" t="s">
        <v>16</v>
      </c>
      <c r="B31" s="8" t="s">
        <v>255</v>
      </c>
      <c r="C31" s="8">
        <f>'Model Data'!D20/1000</f>
        <v>0.254</v>
      </c>
      <c r="D31" s="9" t="s">
        <v>55</v>
      </c>
    </row>
    <row r="32" spans="1:4" x14ac:dyDescent="0.25">
      <c r="A32" s="8" t="s">
        <v>16</v>
      </c>
      <c r="B32" s="8" t="s">
        <v>256</v>
      </c>
      <c r="C32" s="8">
        <f>'Model Data'!D21/1000</f>
        <v>0.20319999999999999</v>
      </c>
      <c r="D32" s="9" t="s">
        <v>55</v>
      </c>
    </row>
    <row r="33" spans="1:7" x14ac:dyDescent="0.25">
      <c r="A33" s="8" t="s">
        <v>16</v>
      </c>
      <c r="B33" s="8" t="s">
        <v>257</v>
      </c>
      <c r="C33" s="8">
        <f>'Model Data'!D22/1000</f>
        <v>0.1016</v>
      </c>
      <c r="D33" s="9" t="s">
        <v>55</v>
      </c>
    </row>
    <row r="34" spans="1:7" x14ac:dyDescent="0.25">
      <c r="A34" s="8" t="s">
        <v>16</v>
      </c>
      <c r="B34" s="8" t="s">
        <v>258</v>
      </c>
      <c r="C34" s="8">
        <f>'Model Data'!D23/1000</f>
        <v>0.60959999999999992</v>
      </c>
      <c r="D34" s="9" t="s">
        <v>55</v>
      </c>
    </row>
    <row r="35" spans="1:7" x14ac:dyDescent="0.25">
      <c r="A35" s="8" t="s">
        <v>16</v>
      </c>
      <c r="B35" s="8" t="s">
        <v>259</v>
      </c>
      <c r="C35" s="8">
        <f>'Model Data'!D24/1000</f>
        <v>1.2191999999999998</v>
      </c>
      <c r="D35" s="9" t="s">
        <v>55</v>
      </c>
    </row>
    <row r="36" spans="1:7" x14ac:dyDescent="0.25">
      <c r="A36" s="8" t="s">
        <v>16</v>
      </c>
      <c r="B36" s="8" t="s">
        <v>260</v>
      </c>
      <c r="C36" s="8">
        <f>'Model Data'!D27/1000</f>
        <v>1.143</v>
      </c>
      <c r="D36" s="9" t="s">
        <v>55</v>
      </c>
    </row>
    <row r="37" spans="1:7" x14ac:dyDescent="0.25">
      <c r="A37" s="8" t="s">
        <v>16</v>
      </c>
      <c r="B37" s="8" t="s">
        <v>261</v>
      </c>
      <c r="C37" s="8">
        <f>'Model Data'!D28/1000</f>
        <v>0.40639999999999998</v>
      </c>
      <c r="D37" s="9" t="s">
        <v>55</v>
      </c>
    </row>
    <row r="38" spans="1:7" x14ac:dyDescent="0.25">
      <c r="A38" s="8" t="s">
        <v>16</v>
      </c>
      <c r="B38" s="8" t="s">
        <v>262</v>
      </c>
      <c r="C38" s="8">
        <f>'Model Data'!D29/1000</f>
        <v>0.81279999999999997</v>
      </c>
      <c r="D38" s="9" t="s">
        <v>55</v>
      </c>
    </row>
    <row r="39" spans="1:7" ht="15" customHeight="1" x14ac:dyDescent="0.25">
      <c r="A39" s="8" t="s">
        <v>50</v>
      </c>
      <c r="C39" s="8" t="s">
        <v>59</v>
      </c>
      <c r="D39" s="9" t="s">
        <v>55</v>
      </c>
    </row>
    <row r="40" spans="1:7" x14ac:dyDescent="0.25">
      <c r="A40" s="10" t="s">
        <v>48</v>
      </c>
      <c r="B40" s="10"/>
      <c r="C40" s="10"/>
      <c r="D40" s="10" t="s">
        <v>60</v>
      </c>
      <c r="E40" s="10"/>
      <c r="F40" s="10"/>
      <c r="G40" s="8" t="s">
        <v>242</v>
      </c>
    </row>
    <row r="41" spans="1:7" x14ac:dyDescent="0.25">
      <c r="A41" s="8" t="s">
        <v>8</v>
      </c>
      <c r="B41" s="8" t="s">
        <v>244</v>
      </c>
      <c r="C41" s="8" t="b">
        <f>IF('Model Data'!D13&gt;0,TRUE,FALSE)</f>
        <v>1</v>
      </c>
      <c r="D41" s="9" t="s">
        <v>55</v>
      </c>
    </row>
    <row r="42" spans="1:7" x14ac:dyDescent="0.25">
      <c r="A42" s="8" t="s">
        <v>35</v>
      </c>
      <c r="B42" s="8" t="s">
        <v>62</v>
      </c>
      <c r="C42" s="8" t="str">
        <f>IF('Model Data'!D11=0,"Default",IF('Model Data'!D15&gt;1,"500340LT", IF('Model Data'!#REF!=1,"500340M","Default")))</f>
        <v>Default</v>
      </c>
      <c r="D42" s="9" t="s">
        <v>55</v>
      </c>
    </row>
    <row r="43" spans="1:7" x14ac:dyDescent="0.25">
      <c r="A43" s="8" t="s">
        <v>50</v>
      </c>
      <c r="C43" s="8" t="s">
        <v>59</v>
      </c>
      <c r="D43" s="9" t="s">
        <v>55</v>
      </c>
    </row>
    <row r="44" spans="1:7" x14ac:dyDescent="0.25">
      <c r="A44" s="10" t="s">
        <v>48</v>
      </c>
      <c r="B44" s="10"/>
      <c r="C44" s="10"/>
      <c r="D44" s="10" t="s">
        <v>60</v>
      </c>
      <c r="E44" s="10"/>
      <c r="F44" s="10"/>
      <c r="G44" s="8" t="s">
        <v>243</v>
      </c>
    </row>
    <row r="45" spans="1:7" x14ac:dyDescent="0.25">
      <c r="A45" s="8" t="s">
        <v>8</v>
      </c>
      <c r="B45" s="8" t="s">
        <v>245</v>
      </c>
      <c r="C45" s="8" t="b">
        <f>IF('Model Data'!D13&gt;1,TRUE,FALSE)</f>
        <v>1</v>
      </c>
      <c r="D45" s="9" t="s">
        <v>55</v>
      </c>
    </row>
    <row r="46" spans="1:7" x14ac:dyDescent="0.25">
      <c r="A46" s="8" t="s">
        <v>35</v>
      </c>
      <c r="B46" s="8" t="s">
        <v>62</v>
      </c>
      <c r="C46" s="8" t="str">
        <f>IF('Model Data'!D11=0,"Default",IF('Model Data'!D13=2,IF('Model Data'!D15&gt;1,"500340RT", IF('Model Data'!#REF!=2,"500340M","Default")),IF('Model Data'!D15&gt;1,"500340Mid", IF('Model Data'!#REF!=3,"500340M","Default"))))</f>
        <v>Default</v>
      </c>
      <c r="D46" s="9" t="s">
        <v>55</v>
      </c>
    </row>
    <row r="47" spans="1:7" x14ac:dyDescent="0.25">
      <c r="A47" s="8" t="s">
        <v>50</v>
      </c>
      <c r="C47" s="8" t="s">
        <v>59</v>
      </c>
      <c r="D47" s="9" t="s">
        <v>55</v>
      </c>
    </row>
    <row r="48" spans="1:7" x14ac:dyDescent="0.25">
      <c r="A48" s="10" t="s">
        <v>48</v>
      </c>
      <c r="B48" s="10"/>
      <c r="C48" s="10"/>
      <c r="D48" s="10" t="s">
        <v>60</v>
      </c>
      <c r="E48" s="10"/>
      <c r="G48" s="8" t="s">
        <v>241</v>
      </c>
    </row>
    <row r="49" spans="1:7" x14ac:dyDescent="0.25">
      <c r="A49" s="8" t="s">
        <v>8</v>
      </c>
      <c r="B49" s="8" t="s">
        <v>246</v>
      </c>
      <c r="C49" s="8" t="b">
        <f>IF('Model Data'!D13&gt;2,TRUE,FALSE)</f>
        <v>0</v>
      </c>
      <c r="D49" s="10" t="s">
        <v>60</v>
      </c>
    </row>
    <row r="50" spans="1:7" x14ac:dyDescent="0.25">
      <c r="A50" s="8" t="s">
        <v>35</v>
      </c>
      <c r="B50" s="8" t="s">
        <v>62</v>
      </c>
      <c r="C50" s="8" t="str">
        <f>IF('Model Data'!D11=0,"Default",IF('Model Data'!D13=3,IF('Model Data'!D15&gt;1,"500340RT", IF('Model Data'!#REF!=2,"500340M","Default")),"Default"))</f>
        <v>Default</v>
      </c>
      <c r="D50" s="10" t="s">
        <v>60</v>
      </c>
    </row>
    <row r="51" spans="1:7" x14ac:dyDescent="0.25">
      <c r="A51" s="8" t="s">
        <v>50</v>
      </c>
      <c r="C51" s="8" t="s">
        <v>59</v>
      </c>
      <c r="D51" s="10" t="s">
        <v>60</v>
      </c>
    </row>
    <row r="52" spans="1:7" x14ac:dyDescent="0.25">
      <c r="A52" s="10" t="s">
        <v>48</v>
      </c>
      <c r="B52" s="10"/>
      <c r="C52" s="10"/>
      <c r="D52" s="10" t="s">
        <v>60</v>
      </c>
      <c r="E52" s="10"/>
      <c r="G52" s="8" t="s">
        <v>247</v>
      </c>
    </row>
    <row r="53" spans="1:7" x14ac:dyDescent="0.25">
      <c r="A53" s="8" t="s">
        <v>8</v>
      </c>
      <c r="B53" s="8" t="s">
        <v>248</v>
      </c>
      <c r="C53" s="8" t="b">
        <f>IF('Model Data'!D13&gt;0,TRUE,FALSE)</f>
        <v>1</v>
      </c>
      <c r="D53" s="9" t="s">
        <v>55</v>
      </c>
    </row>
    <row r="54" spans="1:7" x14ac:dyDescent="0.25">
      <c r="A54" s="8" t="s">
        <v>27</v>
      </c>
      <c r="B54" s="8" t="s">
        <v>58</v>
      </c>
      <c r="C54" s="8" t="str">
        <f>IF(LEN(G54)&gt;10,"special",G54)</f>
        <v>1084A</v>
      </c>
      <c r="D54" s="9" t="s">
        <v>55</v>
      </c>
      <c r="E54" s="8" t="s">
        <v>90</v>
      </c>
      <c r="G54" s="18" t="str">
        <f>'Model Data'!B20&amp;'Model Data'!B21&amp;'Model Data'!B22&amp;IF('Model Data'!D14=1,"",'Model Data'!D14)&amp;IF('Model Data'!D30=0,"","A")</f>
        <v>1084A</v>
      </c>
    </row>
    <row r="55" spans="1:7" x14ac:dyDescent="0.25">
      <c r="A55" s="8" t="s">
        <v>27</v>
      </c>
      <c r="B55" s="8" t="s">
        <v>58</v>
      </c>
      <c r="C55" s="8" t="str">
        <f>IF(LEN(G55)&gt;10,"special",G55)</f>
        <v>1084A</v>
      </c>
      <c r="D55" s="9" t="s">
        <v>55</v>
      </c>
      <c r="E55" s="8" t="s">
        <v>249</v>
      </c>
      <c r="G55" s="18" t="str">
        <f>G54</f>
        <v>1084A</v>
      </c>
    </row>
    <row r="56" spans="1:7" x14ac:dyDescent="0.25">
      <c r="A56" s="8" t="s">
        <v>50</v>
      </c>
      <c r="C56" s="8" t="s">
        <v>59</v>
      </c>
      <c r="D56" s="9" t="s">
        <v>55</v>
      </c>
    </row>
    <row r="57" spans="1:7" x14ac:dyDescent="0.25">
      <c r="A57" s="10" t="s">
        <v>48</v>
      </c>
      <c r="B57" s="10"/>
      <c r="C57" s="10"/>
      <c r="D57" s="10" t="s">
        <v>60</v>
      </c>
      <c r="E57" s="10"/>
    </row>
    <row r="58" spans="1:7" x14ac:dyDescent="0.25">
      <c r="A58" s="8" t="s">
        <v>8</v>
      </c>
      <c r="B58" s="8" t="s">
        <v>275</v>
      </c>
      <c r="C58" s="8" t="b">
        <v>1</v>
      </c>
      <c r="D58" s="9" t="s">
        <v>55</v>
      </c>
    </row>
    <row r="59" spans="1:7" x14ac:dyDescent="0.25">
      <c r="A59" s="8" t="s">
        <v>16</v>
      </c>
      <c r="B59" s="8" t="s">
        <v>274</v>
      </c>
      <c r="C59" s="8">
        <f>'Model Data'!D32/1000</f>
        <v>0.96519999999999995</v>
      </c>
      <c r="D59" s="9" t="s">
        <v>55</v>
      </c>
    </row>
    <row r="60" spans="1:7" x14ac:dyDescent="0.25">
      <c r="A60" s="8" t="s">
        <v>16</v>
      </c>
      <c r="B60" s="8" t="s">
        <v>263</v>
      </c>
      <c r="C60" s="8">
        <f>'Model Data'!D33/1000</f>
        <v>0.15239999999999998</v>
      </c>
      <c r="D60" s="9" t="s">
        <v>55</v>
      </c>
    </row>
    <row r="61" spans="1:7" x14ac:dyDescent="0.25">
      <c r="A61" s="8" t="s">
        <v>16</v>
      </c>
      <c r="B61" s="8" t="s">
        <v>264</v>
      </c>
      <c r="C61" s="8">
        <f>'Model Data'!D34/1000</f>
        <v>0.15239999999999998</v>
      </c>
      <c r="D61" s="9" t="s">
        <v>55</v>
      </c>
    </row>
    <row r="62" spans="1:7" x14ac:dyDescent="0.25">
      <c r="A62" s="8" t="s">
        <v>16</v>
      </c>
      <c r="B62" s="8" t="s">
        <v>265</v>
      </c>
      <c r="C62" s="8">
        <f>'Model Data'!D35/1000</f>
        <v>0.15239999999999998</v>
      </c>
      <c r="D62" s="9" t="s">
        <v>55</v>
      </c>
    </row>
    <row r="63" spans="1:7" x14ac:dyDescent="0.25">
      <c r="A63" s="8" t="s">
        <v>16</v>
      </c>
      <c r="B63" s="8" t="s">
        <v>266</v>
      </c>
      <c r="C63" s="8">
        <f>'Model Data'!D36/1000</f>
        <v>0.15239999999999998</v>
      </c>
      <c r="D63" s="9" t="s">
        <v>55</v>
      </c>
    </row>
    <row r="64" spans="1:7" x14ac:dyDescent="0.25">
      <c r="A64" s="8" t="s">
        <v>16</v>
      </c>
      <c r="B64" s="8" t="s">
        <v>267</v>
      </c>
      <c r="C64" s="8">
        <f>'Model Data'!D37/1000</f>
        <v>0.15239999999999998</v>
      </c>
      <c r="D64" s="9" t="s">
        <v>55</v>
      </c>
    </row>
    <row r="65" spans="1:7" x14ac:dyDescent="0.25">
      <c r="A65" s="8" t="s">
        <v>16</v>
      </c>
      <c r="B65" s="8" t="s">
        <v>268</v>
      </c>
      <c r="C65" s="8">
        <f>'Model Data'!D38/1000</f>
        <v>0.15239999999999998</v>
      </c>
      <c r="D65" s="9" t="s">
        <v>55</v>
      </c>
    </row>
    <row r="66" spans="1:7" x14ac:dyDescent="0.25">
      <c r="A66" s="8" t="s">
        <v>16</v>
      </c>
      <c r="B66" s="8" t="s">
        <v>269</v>
      </c>
      <c r="C66" s="8">
        <f>'Model Data'!D39/1000</f>
        <v>0.15239999999999998</v>
      </c>
      <c r="D66" s="9" t="s">
        <v>55</v>
      </c>
    </row>
    <row r="67" spans="1:7" x14ac:dyDescent="0.25">
      <c r="A67" s="8" t="s">
        <v>16</v>
      </c>
      <c r="B67" s="8" t="s">
        <v>270</v>
      </c>
      <c r="C67" s="8">
        <f>'Model Data'!D40/1000</f>
        <v>0.15239999999999998</v>
      </c>
      <c r="D67" s="9" t="s">
        <v>55</v>
      </c>
    </row>
    <row r="68" spans="1:7" x14ac:dyDescent="0.25">
      <c r="A68" s="8" t="s">
        <v>16</v>
      </c>
      <c r="B68" s="8" t="s">
        <v>271</v>
      </c>
      <c r="C68" s="8">
        <f>'Model Data'!D41/1000</f>
        <v>0.15239999999999998</v>
      </c>
      <c r="D68" s="9" t="s">
        <v>55</v>
      </c>
    </row>
    <row r="69" spans="1:7" x14ac:dyDescent="0.25">
      <c r="A69" s="8" t="s">
        <v>16</v>
      </c>
      <c r="B69" s="8" t="s">
        <v>272</v>
      </c>
      <c r="C69" s="8">
        <f>'Model Data'!D42/1000</f>
        <v>0.15239999999999998</v>
      </c>
      <c r="D69" s="9" t="s">
        <v>55</v>
      </c>
    </row>
    <row r="70" spans="1:7" x14ac:dyDescent="0.25">
      <c r="A70" s="8" t="s">
        <v>16</v>
      </c>
      <c r="B70" s="8" t="s">
        <v>273</v>
      </c>
      <c r="C70" s="8">
        <f>'Model Data'!D43/1000</f>
        <v>0.15239999999999998</v>
      </c>
      <c r="D70" s="9" t="s">
        <v>55</v>
      </c>
    </row>
    <row r="71" spans="1:7" x14ac:dyDescent="0.25">
      <c r="A71" s="8" t="s">
        <v>27</v>
      </c>
      <c r="B71" s="8" t="s">
        <v>58</v>
      </c>
      <c r="C71" s="8" t="str">
        <f>IF(LEN(G71)&gt;15,"special",G71)</f>
        <v>96437173386</v>
      </c>
      <c r="D71" s="9" t="s">
        <v>55</v>
      </c>
      <c r="E71" s="8" t="s">
        <v>90</v>
      </c>
      <c r="G71" s="18" t="str">
        <f>'Model Data'!B4&amp;ROUND('Model Data'!D9,0)&amp;IF('Model Data'!D12=0,"",'Model Data'!D12)&amp;IF('Model Data'!D11=0,"","M")&amp;IF('Model Data'!D25=0,"",'Model Data'!D25&amp;'Model Data'!D26)&amp;IF('Model Data'!B31&lt;1,"",'Model Data'!B32)&amp;IF('Model Data'!B31&lt;1,"",'Model Data'!B33)&amp;IF('Model Data'!B31&lt;2,"",'Model Data'!B34)&amp;IF('Model Data'!B31&lt;3,"",'Model Data'!B35)&amp;IF('Model Data'!B31&lt;4,"",'Model Data'!B36)&amp;IF('Model Data'!B31&lt;5,"",'Model Data'!B37)&amp;IF('Model Data'!B31&lt;6,"",'Model Data'!B38)&amp;IF('Model Data'!B31&lt;7,"",'Model Data'!B39)&amp;IF('Model Data'!B31&lt;8,"",'Model Data'!B40)&amp;IF('Model Data'!B31&lt;9,"",'Model Data'!B41)&amp;IF('Model Data'!B31&lt;10,"",'Model Data'!B42)&amp;IF('Model Data'!B31&lt;11,"",'Model Data'!B43)</f>
        <v>96437173386</v>
      </c>
    </row>
    <row r="72" spans="1:7" x14ac:dyDescent="0.25">
      <c r="A72" s="8" t="s">
        <v>50</v>
      </c>
      <c r="C72" s="8" t="s">
        <v>59</v>
      </c>
      <c r="D72" s="9" t="s">
        <v>55</v>
      </c>
    </row>
    <row r="73" spans="1:7" x14ac:dyDescent="0.25">
      <c r="A73" s="10" t="s">
        <v>48</v>
      </c>
      <c r="B73" s="10"/>
      <c r="C73" s="10"/>
      <c r="D73" s="10" t="s">
        <v>60</v>
      </c>
      <c r="E73" s="10"/>
    </row>
    <row r="74" spans="1:7" x14ac:dyDescent="0.25">
      <c r="A74" s="8" t="s">
        <v>8</v>
      </c>
      <c r="B74" s="8" t="s">
        <v>279</v>
      </c>
      <c r="C74" s="8" t="b">
        <v>1</v>
      </c>
      <c r="D74" s="9" t="s">
        <v>55</v>
      </c>
      <c r="E74" s="8" t="s">
        <v>59</v>
      </c>
    </row>
    <row r="75" spans="1:7" x14ac:dyDescent="0.25">
      <c r="A75" s="8" t="s">
        <v>79</v>
      </c>
      <c r="B75" s="8" t="s">
        <v>281</v>
      </c>
      <c r="C75" s="8" t="b">
        <f>IF(AND(OR('Model Data'!D15=3,'Model Data'!D15=5),AND('Model Data'!D13&gt;0,'Model Data'!D16=1)),FALSE,TRUE)</f>
        <v>1</v>
      </c>
      <c r="D75" s="9" t="s">
        <v>55</v>
      </c>
      <c r="E75" s="8" t="s">
        <v>90</v>
      </c>
    </row>
    <row r="76" spans="1:7" x14ac:dyDescent="0.25">
      <c r="A76" s="8" t="s">
        <v>79</v>
      </c>
      <c r="B76" s="8" t="s">
        <v>280</v>
      </c>
      <c r="C76" s="8" t="b">
        <f>IF(AND(OR('Model Data'!D15=3,'Model Data'!D15=5),AND('Model Data'!D13&gt;0,'Model Data'!D16=2)),FALSE,TRUE)</f>
        <v>1</v>
      </c>
      <c r="D76" s="9" t="s">
        <v>55</v>
      </c>
      <c r="E76" s="8" t="s">
        <v>90</v>
      </c>
    </row>
    <row r="77" spans="1:7" x14ac:dyDescent="0.25">
      <c r="A77" s="8" t="s">
        <v>79</v>
      </c>
      <c r="B77" s="8" t="s">
        <v>282</v>
      </c>
      <c r="C77" s="8" t="b">
        <f>IF(AND(OR('Model Data'!D15=3,'Model Data'!D15=5),OR(AND('Model Data'!D13=2,'Model Data'!D18=1),AND('Model Data'!D13=3,'Model Data'!D17=1))),FALSE,TRUE)</f>
        <v>1</v>
      </c>
      <c r="D77" s="9" t="s">
        <v>55</v>
      </c>
      <c r="E77" s="8" t="s">
        <v>90</v>
      </c>
    </row>
    <row r="78" spans="1:7" x14ac:dyDescent="0.25">
      <c r="A78" s="8" t="s">
        <v>79</v>
      </c>
      <c r="B78" s="8" t="s">
        <v>283</v>
      </c>
      <c r="C78" s="8" t="b">
        <f>IF(AND(OR('Model Data'!D15=3,'Model Data'!D15=5),OR(AND('Model Data'!D13=2,'Model Data'!D18=2),AND('Model Data'!D13=3,'Model Data'!D17=2))),FALSE,TRUE)</f>
        <v>1</v>
      </c>
      <c r="D78" s="9" t="s">
        <v>55</v>
      </c>
      <c r="E78" s="8" t="s">
        <v>90</v>
      </c>
    </row>
    <row r="79" spans="1:7" x14ac:dyDescent="0.25">
      <c r="A79" s="8" t="s">
        <v>79</v>
      </c>
      <c r="B79" s="8" t="s">
        <v>284</v>
      </c>
      <c r="C79" s="8" t="b">
        <f>IF(AND(OR('Model Data'!D15=3,'Model Data'!D15=5),AND('Model Data'!D13=3,'Model Data'!D18=1)),FALSE,TRUE)</f>
        <v>1</v>
      </c>
      <c r="D79" s="9" t="s">
        <v>55</v>
      </c>
      <c r="E79" s="8" t="s">
        <v>90</v>
      </c>
    </row>
    <row r="80" spans="1:7" x14ac:dyDescent="0.25">
      <c r="A80" s="8" t="s">
        <v>79</v>
      </c>
      <c r="B80" s="8" t="s">
        <v>285</v>
      </c>
      <c r="C80" s="8" t="b">
        <f>IF(AND(OR('Model Data'!D15=3,'Model Data'!D15=5),AND('Model Data'!D13=3,'Model Data'!D18=2)),FALSE,TRUE)</f>
        <v>1</v>
      </c>
      <c r="D80" s="9" t="s">
        <v>55</v>
      </c>
      <c r="E80" s="8" t="s">
        <v>90</v>
      </c>
    </row>
    <row r="81" spans="1:7" x14ac:dyDescent="0.25">
      <c r="A81" s="8" t="s">
        <v>79</v>
      </c>
      <c r="B81" s="8" t="s">
        <v>286</v>
      </c>
      <c r="C81" s="8" t="b">
        <f>IF(OR('Model Data'!D30=2,'Model Data'!D30=3,'Model Data'!D30=4),FALSE,TRUE)</f>
        <v>1</v>
      </c>
      <c r="D81" s="9" t="s">
        <v>55</v>
      </c>
      <c r="E81" s="8" t="s">
        <v>90</v>
      </c>
    </row>
    <row r="82" spans="1:7" x14ac:dyDescent="0.25">
      <c r="A82" s="8" t="s">
        <v>79</v>
      </c>
      <c r="B82" s="8" t="s">
        <v>287</v>
      </c>
      <c r="C82" s="8" t="b">
        <f>IF(OR('Model Data'!D30=2,'Model Data'!D30=1,'Model Data'!D30=4),FALSE,TRUE)</f>
        <v>0</v>
      </c>
      <c r="D82" s="9" t="s">
        <v>55</v>
      </c>
      <c r="E82" s="8" t="s">
        <v>90</v>
      </c>
    </row>
    <row r="83" spans="1:7" x14ac:dyDescent="0.25">
      <c r="A83" s="8" t="s">
        <v>27</v>
      </c>
      <c r="B83" s="8" t="s">
        <v>58</v>
      </c>
      <c r="C83" s="8" t="str">
        <f>IF(LEN(G83)&gt;15,"special",G83)</f>
        <v>96210824481</v>
      </c>
      <c r="D83" s="9" t="s">
        <v>55</v>
      </c>
      <c r="E83" s="8" t="s">
        <v>90</v>
      </c>
      <c r="G83" s="18" t="str">
        <f>'Model Data'!B4&amp;IF('Model Data'!D13&lt;0,"",'Model Data'!D13&amp;'Model Data'!B20&amp;'Model Data'!B21&amp;'Model Data'!B23&amp;'Model Data'!B24)&amp;IF(OR('Model Data'!D15=3,'Model Data'!D15=5),'Model Data'!D16&amp;IF('Model Data'!D13&gt;1,'Model Data'!D17,"")&amp;IF('Model Data'!D13&gt;2,'Model Data'!D18,""),"")&amp;IF('Model Data'!D30=0,"",'Model Data'!D30)</f>
        <v>96210824481</v>
      </c>
    </row>
    <row r="84" spans="1:7" x14ac:dyDescent="0.25">
      <c r="A84" s="8" t="s">
        <v>50</v>
      </c>
      <c r="C84" s="8" t="s">
        <v>59</v>
      </c>
      <c r="D84" s="9" t="s">
        <v>55</v>
      </c>
    </row>
    <row r="85" spans="1:7" x14ac:dyDescent="0.25">
      <c r="A85" s="10" t="s">
        <v>48</v>
      </c>
      <c r="B85" s="10"/>
      <c r="C85" s="10"/>
      <c r="D85" s="10" t="s">
        <v>60</v>
      </c>
      <c r="E85" s="10"/>
    </row>
    <row r="86" spans="1:7" x14ac:dyDescent="0.25">
      <c r="A86" s="8" t="s">
        <v>8</v>
      </c>
      <c r="B86" s="8" t="s">
        <v>288</v>
      </c>
      <c r="C86" s="8" t="b">
        <v>1</v>
      </c>
      <c r="D86" s="9" t="s">
        <v>55</v>
      </c>
    </row>
    <row r="87" spans="1:7" x14ac:dyDescent="0.25">
      <c r="A87" s="8" t="s">
        <v>79</v>
      </c>
      <c r="B87" s="8" t="s">
        <v>281</v>
      </c>
      <c r="C87" s="8" t="b">
        <f>IF(AND(OR('Model Data'!D15=3,'Model Data'!D15=5),AND('Model Data'!D13&gt;0,'Model Data'!D16=1)),FALSE,TRUE)</f>
        <v>1</v>
      </c>
      <c r="D87" s="9" t="s">
        <v>55</v>
      </c>
      <c r="E87" s="8" t="s">
        <v>289</v>
      </c>
    </row>
    <row r="88" spans="1:7" x14ac:dyDescent="0.25">
      <c r="A88" s="8" t="s">
        <v>79</v>
      </c>
      <c r="B88" s="8" t="s">
        <v>280</v>
      </c>
      <c r="C88" s="8" t="b">
        <f>IF(AND(OR('Model Data'!D15=3,'Model Data'!D15=5),AND('Model Data'!D13&gt;0,'Model Data'!D16=2)),FALSE,TRUE)</f>
        <v>1</v>
      </c>
      <c r="D88" s="9" t="s">
        <v>55</v>
      </c>
      <c r="E88" s="8" t="s">
        <v>289</v>
      </c>
    </row>
    <row r="89" spans="1:7" x14ac:dyDescent="0.25">
      <c r="A89" s="8" t="s">
        <v>79</v>
      </c>
      <c r="B89" s="8" t="s">
        <v>282</v>
      </c>
      <c r="C89" s="8" t="b">
        <f>IF(AND(OR('Model Data'!D15=3,'Model Data'!D15=5),OR(AND('Model Data'!D13=2,'Model Data'!D18=1),AND('Model Data'!D13=3,'Model Data'!D17=1))),FALSE,TRUE)</f>
        <v>1</v>
      </c>
      <c r="D89" s="9" t="s">
        <v>55</v>
      </c>
      <c r="E89" s="8" t="s">
        <v>289</v>
      </c>
    </row>
    <row r="90" spans="1:7" x14ac:dyDescent="0.25">
      <c r="A90" s="8" t="s">
        <v>79</v>
      </c>
      <c r="B90" s="8" t="s">
        <v>283</v>
      </c>
      <c r="C90" s="8" t="b">
        <f>IF(AND(OR('Model Data'!D15=3,'Model Data'!D15=5),OR(AND('Model Data'!D13=2,'Model Data'!D18=2),AND('Model Data'!D13=3,'Model Data'!D17=2))),FALSE,TRUE)</f>
        <v>1</v>
      </c>
      <c r="D90" s="9" t="s">
        <v>55</v>
      </c>
      <c r="E90" s="8" t="s">
        <v>289</v>
      </c>
    </row>
    <row r="91" spans="1:7" x14ac:dyDescent="0.25">
      <c r="A91" s="8" t="s">
        <v>79</v>
      </c>
      <c r="B91" s="8" t="s">
        <v>284</v>
      </c>
      <c r="C91" s="8" t="b">
        <f>IF(AND(OR('Model Data'!D15=3,'Model Data'!D15=5),AND('Model Data'!D13=3,'Model Data'!D18=1)),FALSE,TRUE)</f>
        <v>1</v>
      </c>
      <c r="D91" s="9" t="s">
        <v>55</v>
      </c>
      <c r="E91" s="8" t="s">
        <v>289</v>
      </c>
    </row>
    <row r="92" spans="1:7" x14ac:dyDescent="0.25">
      <c r="A92" s="8" t="s">
        <v>79</v>
      </c>
      <c r="B92" s="8" t="s">
        <v>285</v>
      </c>
      <c r="C92" s="8" t="b">
        <f>IF(AND(OR('Model Data'!D15=3,'Model Data'!D15=5),AND('Model Data'!D13=3,'Model Data'!D18=2)),FALSE,TRUE)</f>
        <v>1</v>
      </c>
      <c r="D92" s="9" t="s">
        <v>55</v>
      </c>
      <c r="E92" s="8" t="s">
        <v>289</v>
      </c>
    </row>
    <row r="93" spans="1:7" x14ac:dyDescent="0.25">
      <c r="A93" s="8" t="s">
        <v>79</v>
      </c>
      <c r="B93" s="8" t="s">
        <v>286</v>
      </c>
      <c r="C93" s="8" t="b">
        <f>IF('Model Data'!D30&lt;&gt;0,FALSE,TRUE)</f>
        <v>0</v>
      </c>
      <c r="D93" s="9" t="s">
        <v>55</v>
      </c>
      <c r="E93" s="8" t="s">
        <v>289</v>
      </c>
    </row>
    <row r="94" spans="1:7" x14ac:dyDescent="0.25">
      <c r="A94" s="8" t="s">
        <v>79</v>
      </c>
      <c r="B94" s="8" t="s">
        <v>287</v>
      </c>
      <c r="C94" s="8" t="b">
        <f>IF('Model Data'!D30&lt;&gt;0,FALSE,TRUE)</f>
        <v>0</v>
      </c>
      <c r="D94" s="9" t="s">
        <v>55</v>
      </c>
      <c r="E94" s="8" t="s">
        <v>289</v>
      </c>
    </row>
    <row r="95" spans="1:7" x14ac:dyDescent="0.25">
      <c r="A95" s="8" t="s">
        <v>27</v>
      </c>
      <c r="B95" s="8" t="s">
        <v>58</v>
      </c>
      <c r="C95" s="8" t="str">
        <f>IF(LEN(G95)&gt;15,"special",G95)</f>
        <v>96210824481</v>
      </c>
      <c r="D95" s="9" t="s">
        <v>55</v>
      </c>
      <c r="E95" s="8" t="s">
        <v>289</v>
      </c>
      <c r="G95" s="18" t="str">
        <f>'Model Data'!B4&amp;IF('Model Data'!D13&lt;0,"",'Model Data'!D13&amp;'Model Data'!B20&amp;'Model Data'!B21&amp;'Model Data'!B23&amp;'Model Data'!B24)&amp;IF(OR('Model Data'!D15=3,'Model Data'!D15=5),'Model Data'!D16&amp;IF('Model Data'!D13&gt;1,'Model Data'!D17,"")&amp;IF('Model Data'!D13&gt;2,'Model Data'!D18,""),"")&amp;IF('Model Data'!D30=0,"",1)</f>
        <v>96210824481</v>
      </c>
    </row>
    <row r="96" spans="1:7" x14ac:dyDescent="0.25">
      <c r="A96" s="8" t="s">
        <v>50</v>
      </c>
      <c r="C96" s="8" t="s">
        <v>59</v>
      </c>
      <c r="D96" s="9" t="s">
        <v>55</v>
      </c>
    </row>
    <row r="97" spans="1:5" x14ac:dyDescent="0.25">
      <c r="A97" s="10" t="s">
        <v>48</v>
      </c>
      <c r="B97" s="10"/>
      <c r="C97" s="10"/>
      <c r="D97" s="10" t="s">
        <v>60</v>
      </c>
      <c r="E97" s="10"/>
    </row>
  </sheetData>
  <mergeCells count="1">
    <mergeCell ref="A1:G1"/>
  </mergeCells>
  <phoneticPr fontId="10" type="noConversion"/>
  <conditionalFormatting sqref="D2:D25 D26:F38 D39:D44 D56:F70 D72:F73 F74:F82 D84:F87 F88:F94 D96:F1048576">
    <cfRule type="containsText" dxfId="28" priority="29" operator="containsText" text="OK">
      <formula>NOT(ISERROR(SEARCH("OK",D2)))</formula>
    </cfRule>
    <cfRule type="containsText" dxfId="27" priority="30" operator="containsText" text="Failed">
      <formula>NOT(ISERROR(SEARCH("Failed",D2)))</formula>
    </cfRule>
  </conditionalFormatting>
  <conditionalFormatting sqref="D46">
    <cfRule type="containsText" dxfId="25" priority="26" operator="containsText" text="OK">
      <formula>NOT(ISERROR(SEARCH("OK",D46)))</formula>
    </cfRule>
    <cfRule type="containsText" dxfId="24" priority="27" operator="containsText" text="Failed">
      <formula>NOT(ISERROR(SEARCH("Failed",D46)))</formula>
    </cfRule>
  </conditionalFormatting>
  <conditionalFormatting sqref="D50">
    <cfRule type="containsText" dxfId="22" priority="23" operator="containsText" text="OK">
      <formula>NOT(ISERROR(SEARCH("OK",D50)))</formula>
    </cfRule>
    <cfRule type="containsText" dxfId="21" priority="24" operator="containsText" text="Failed">
      <formula>NOT(ISERROR(SEARCH("Failed",D50)))</formula>
    </cfRule>
  </conditionalFormatting>
  <conditionalFormatting sqref="D54:D55">
    <cfRule type="containsText" dxfId="19" priority="17" operator="containsText" text="OK">
      <formula>NOT(ISERROR(SEARCH("OK",D54)))</formula>
    </cfRule>
    <cfRule type="containsText" dxfId="18" priority="18" operator="containsText" text="Failed">
      <formula>NOT(ISERROR(SEARCH("Failed",D54)))</formula>
    </cfRule>
  </conditionalFormatting>
  <conditionalFormatting sqref="D71">
    <cfRule type="containsText" dxfId="16" priority="8" operator="containsText" text="OK">
      <formula>NOT(ISERROR(SEARCH("OK",D71)))</formula>
    </cfRule>
    <cfRule type="containsText" dxfId="15" priority="9" operator="containsText" text="Failed">
      <formula>NOT(ISERROR(SEARCH("Failed",D71)))</formula>
    </cfRule>
  </conditionalFormatting>
  <conditionalFormatting sqref="D74:D83">
    <cfRule type="containsText" dxfId="13" priority="5" operator="containsText" text="OK">
      <formula>NOT(ISERROR(SEARCH("OK",D74)))</formula>
    </cfRule>
    <cfRule type="containsText" dxfId="12" priority="6" operator="containsText" text="Failed">
      <formula>NOT(ISERROR(SEARCH("Failed",D74)))</formula>
    </cfRule>
  </conditionalFormatting>
  <conditionalFormatting sqref="D88:E95">
    <cfRule type="containsText" dxfId="10" priority="2" operator="containsText" text="OK">
      <formula>NOT(ISERROR(SEARCH("OK",D88)))</formula>
    </cfRule>
    <cfRule type="containsText" dxfId="9" priority="3" operator="containsText" text="Failed">
      <formula>NOT(ISERROR(SEARCH("Failed",D88)))</formula>
    </cfRule>
  </conditionalFormatting>
  <conditionalFormatting sqref="D45:F45">
    <cfRule type="containsText" dxfId="7" priority="854" operator="containsText" text="OK">
      <formula>NOT(ISERROR(SEARCH("OK",D45)))</formula>
    </cfRule>
    <cfRule type="containsText" dxfId="6" priority="855" operator="containsText" text="Failed">
      <formula>NOT(ISERROR(SEARCH("Failed",D45)))</formula>
    </cfRule>
  </conditionalFormatting>
  <conditionalFormatting sqref="D47:F49">
    <cfRule type="containsText" dxfId="4" priority="107" operator="containsText" text="OK">
      <formula>NOT(ISERROR(SEARCH("OK",D47)))</formula>
    </cfRule>
    <cfRule type="containsText" dxfId="3" priority="108" operator="containsText" text="Failed">
      <formula>NOT(ISERROR(SEARCH("Failed",D47)))</formula>
    </cfRule>
  </conditionalFormatting>
  <conditionalFormatting sqref="D51:F53">
    <cfRule type="containsText" dxfId="1" priority="20" operator="containsText" text="OK">
      <formula>NOT(ISERROR(SEARCH("OK",D51)))</formula>
    </cfRule>
    <cfRule type="containsText" dxfId="0" priority="21" operator="containsText" text="Failed">
      <formula>NOT(ISERROR(SEARCH("Failed",D51)))</formula>
    </cfRule>
  </conditionalFormatting>
  <pageMargins left="0.7" right="0.7" top="0.75" bottom="0.75" header="0.3" footer="0.3"/>
  <pageSetup paperSize="9" orientation="landscape" r:id="rId1"/>
  <extLst>
    <ext xmlns:x14="http://schemas.microsoft.com/office/spreadsheetml/2009/9/main" uri="{78C0D931-6437-407d-A8EE-F0AAD7539E65}">
      <x14:conditionalFormattings>
        <x14:conditionalFormatting xmlns:xm="http://schemas.microsoft.com/office/excel/2006/main">
          <x14:cfRule type="containsText" priority="28" operator="containsText" id="{529FB92E-8EFF-42D6-B9B0-2738167B201A}">
            <xm:f>NOT(ISERROR(SEARCH("-",D2)))</xm:f>
            <xm:f>"-"</xm:f>
            <x14:dxf>
              <font>
                <color rgb="FF9C6500"/>
              </font>
              <fill>
                <patternFill>
                  <bgColor rgb="FFFFEB9C"/>
                </patternFill>
              </fill>
            </x14:dxf>
          </x14:cfRule>
          <xm:sqref>D2:D25 D26:F38 D39:D44 D56:F70 D72:F73 F74:F82 D84:F87 F88:F94 D96:F1048576</xm:sqref>
        </x14:conditionalFormatting>
        <x14:conditionalFormatting xmlns:xm="http://schemas.microsoft.com/office/excel/2006/main">
          <x14:cfRule type="containsText" priority="25" operator="containsText" id="{EB4D2166-EF96-47FA-A94F-EC36605D8137}">
            <xm:f>NOT(ISERROR(SEARCH("-",D46)))</xm:f>
            <xm:f>"-"</xm:f>
            <x14:dxf>
              <font>
                <color rgb="FF9C6500"/>
              </font>
              <fill>
                <patternFill>
                  <bgColor rgb="FFFFEB9C"/>
                </patternFill>
              </fill>
            </x14:dxf>
          </x14:cfRule>
          <xm:sqref>D46</xm:sqref>
        </x14:conditionalFormatting>
        <x14:conditionalFormatting xmlns:xm="http://schemas.microsoft.com/office/excel/2006/main">
          <x14:cfRule type="containsText" priority="22" operator="containsText" id="{D3518F67-7155-497B-8DC1-C997481D0F31}">
            <xm:f>NOT(ISERROR(SEARCH("-",D50)))</xm:f>
            <xm:f>"-"</xm:f>
            <x14:dxf>
              <font>
                <color rgb="FF9C6500"/>
              </font>
              <fill>
                <patternFill>
                  <bgColor rgb="FFFFEB9C"/>
                </patternFill>
              </fill>
            </x14:dxf>
          </x14:cfRule>
          <xm:sqref>D50</xm:sqref>
        </x14:conditionalFormatting>
        <x14:conditionalFormatting xmlns:xm="http://schemas.microsoft.com/office/excel/2006/main">
          <x14:cfRule type="containsText" priority="16" operator="containsText" id="{C301F582-E5DD-4065-AC57-BB55143CC87C}">
            <xm:f>NOT(ISERROR(SEARCH("-",D54)))</xm:f>
            <xm:f>"-"</xm:f>
            <x14:dxf>
              <font>
                <color rgb="FF9C6500"/>
              </font>
              <fill>
                <patternFill>
                  <bgColor rgb="FFFFEB9C"/>
                </patternFill>
              </fill>
            </x14:dxf>
          </x14:cfRule>
          <xm:sqref>D54:D55</xm:sqref>
        </x14:conditionalFormatting>
        <x14:conditionalFormatting xmlns:xm="http://schemas.microsoft.com/office/excel/2006/main">
          <x14:cfRule type="containsText" priority="7" operator="containsText" id="{6C387BAF-CD19-4067-AEB3-6CB89ADA8316}">
            <xm:f>NOT(ISERROR(SEARCH("-",D71)))</xm:f>
            <xm:f>"-"</xm:f>
            <x14:dxf>
              <font>
                <color rgb="FF9C6500"/>
              </font>
              <fill>
                <patternFill>
                  <bgColor rgb="FFFFEB9C"/>
                </patternFill>
              </fill>
            </x14:dxf>
          </x14:cfRule>
          <xm:sqref>D71</xm:sqref>
        </x14:conditionalFormatting>
        <x14:conditionalFormatting xmlns:xm="http://schemas.microsoft.com/office/excel/2006/main">
          <x14:cfRule type="containsText" priority="4" operator="containsText" id="{31147CCE-A414-4E4E-8AC4-23BF34FCCB59}">
            <xm:f>NOT(ISERROR(SEARCH("-",D74)))</xm:f>
            <xm:f>"-"</xm:f>
            <x14:dxf>
              <font>
                <color rgb="FF9C6500"/>
              </font>
              <fill>
                <patternFill>
                  <bgColor rgb="FFFFEB9C"/>
                </patternFill>
              </fill>
            </x14:dxf>
          </x14:cfRule>
          <xm:sqref>D74:D83</xm:sqref>
        </x14:conditionalFormatting>
        <x14:conditionalFormatting xmlns:xm="http://schemas.microsoft.com/office/excel/2006/main">
          <x14:cfRule type="containsText" priority="1" operator="containsText" id="{4C46C7FC-82FD-4414-AECA-9A2D58EA568C}">
            <xm:f>NOT(ISERROR(SEARCH("-",D88)))</xm:f>
            <xm:f>"-"</xm:f>
            <x14:dxf>
              <font>
                <color rgb="FF9C6500"/>
              </font>
              <fill>
                <patternFill>
                  <bgColor rgb="FFFFEB9C"/>
                </patternFill>
              </fill>
            </x14:dxf>
          </x14:cfRule>
          <xm:sqref>D88:E95</xm:sqref>
        </x14:conditionalFormatting>
        <x14:conditionalFormatting xmlns:xm="http://schemas.microsoft.com/office/excel/2006/main">
          <x14:cfRule type="containsText" priority="853" operator="containsText" id="{51DFFB6C-04CA-4747-A877-1B74A28AAD3F}">
            <xm:f>NOT(ISERROR(SEARCH("-",D45)))</xm:f>
            <xm:f>"-"</xm:f>
            <x14:dxf>
              <font>
                <color rgb="FF9C6500"/>
              </font>
              <fill>
                <patternFill>
                  <bgColor rgb="FFFFEB9C"/>
                </patternFill>
              </fill>
            </x14:dxf>
          </x14:cfRule>
          <xm:sqref>D45:F45</xm:sqref>
        </x14:conditionalFormatting>
        <x14:conditionalFormatting xmlns:xm="http://schemas.microsoft.com/office/excel/2006/main">
          <x14:cfRule type="containsText" priority="106" operator="containsText" id="{07187826-0060-4369-B9EA-5DA62D12C1A4}">
            <xm:f>NOT(ISERROR(SEARCH("-",D47)))</xm:f>
            <xm:f>"-"</xm:f>
            <x14:dxf>
              <font>
                <color rgb="FF9C6500"/>
              </font>
              <fill>
                <patternFill>
                  <bgColor rgb="FFFFEB9C"/>
                </patternFill>
              </fill>
            </x14:dxf>
          </x14:cfRule>
          <xm:sqref>D47:F49</xm:sqref>
        </x14:conditionalFormatting>
        <x14:conditionalFormatting xmlns:xm="http://schemas.microsoft.com/office/excel/2006/main">
          <x14:cfRule type="containsText" priority="19" operator="containsText" id="{9B51DA8F-83BF-4278-9476-C75DE558A6ED}">
            <xm:f>NOT(ISERROR(SEARCH("-",D51)))</xm:f>
            <xm:f>"-"</xm:f>
            <x14:dxf>
              <font>
                <color rgb="FF9C6500"/>
              </font>
              <fill>
                <patternFill>
                  <bgColor rgb="FFFFEB9C"/>
                </patternFill>
              </fill>
            </x14:dxf>
          </x14:cfRule>
          <xm:sqref>D51:F53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6"/>
  <sheetViews>
    <sheetView topLeftCell="A31" zoomScaleNormal="100" workbookViewId="0">
      <selection activeCell="E30" sqref="E30"/>
    </sheetView>
  </sheetViews>
  <sheetFormatPr defaultRowHeight="15" x14ac:dyDescent="0.25"/>
  <cols>
    <col min="1" max="1" width="28.42578125" bestFit="1" customWidth="1"/>
    <col min="2" max="2" width="49" customWidth="1"/>
    <col min="3" max="3" width="34.85546875" bestFit="1" customWidth="1"/>
    <col min="4" max="4" width="6.42578125" bestFit="1" customWidth="1"/>
    <col min="5" max="5" width="34.28515625" customWidth="1"/>
    <col min="6" max="6" width="53.5703125" customWidth="1"/>
  </cols>
  <sheetData>
    <row r="1" spans="1:6" ht="16.5" thickBot="1" x14ac:dyDescent="0.3">
      <c r="A1" s="2" t="s">
        <v>3</v>
      </c>
      <c r="B1" s="3" t="s">
        <v>4</v>
      </c>
      <c r="C1" s="3" t="s">
        <v>5</v>
      </c>
      <c r="D1" s="3" t="s">
        <v>6</v>
      </c>
      <c r="E1" s="3" t="s">
        <v>66</v>
      </c>
      <c r="F1" s="3" t="s">
        <v>7</v>
      </c>
    </row>
    <row r="2" spans="1:6" ht="15.75" x14ac:dyDescent="0.25">
      <c r="A2" s="67" t="s">
        <v>8</v>
      </c>
      <c r="B2" s="5" t="s">
        <v>9</v>
      </c>
      <c r="C2" s="67" t="s">
        <v>161</v>
      </c>
      <c r="D2" s="67" t="s">
        <v>10</v>
      </c>
      <c r="E2" s="33"/>
      <c r="F2" s="67" t="s">
        <v>11</v>
      </c>
    </row>
    <row r="3" spans="1:6" ht="15.75" x14ac:dyDescent="0.25">
      <c r="A3" s="68"/>
      <c r="B3" s="36" t="s">
        <v>12</v>
      </c>
      <c r="C3" s="68"/>
      <c r="D3" s="68"/>
      <c r="E3" s="34" t="s">
        <v>67</v>
      </c>
      <c r="F3" s="68"/>
    </row>
    <row r="4" spans="1:6" ht="15.75" x14ac:dyDescent="0.25">
      <c r="A4" s="68"/>
      <c r="B4" s="36" t="s">
        <v>13</v>
      </c>
      <c r="C4" s="68"/>
      <c r="D4" s="68"/>
      <c r="E4" s="34"/>
      <c r="F4" s="68"/>
    </row>
    <row r="5" spans="1:6" ht="15.75" x14ac:dyDescent="0.25">
      <c r="A5" s="68"/>
      <c r="B5" t="s">
        <v>63</v>
      </c>
      <c r="C5" s="68"/>
      <c r="D5" s="68"/>
      <c r="E5" s="34"/>
      <c r="F5" s="68"/>
    </row>
    <row r="6" spans="1:6" ht="15.75" x14ac:dyDescent="0.25">
      <c r="A6" s="68"/>
      <c r="B6" s="36" t="s">
        <v>14</v>
      </c>
      <c r="C6" s="68"/>
      <c r="D6" s="68"/>
      <c r="E6" s="34"/>
      <c r="F6" s="68"/>
    </row>
    <row r="7" spans="1:6" ht="16.5" thickBot="1" x14ac:dyDescent="0.3">
      <c r="A7" s="69"/>
      <c r="B7" s="37" t="s">
        <v>15</v>
      </c>
      <c r="C7" s="69"/>
      <c r="D7" s="69"/>
      <c r="E7" s="35"/>
      <c r="F7" s="69"/>
    </row>
    <row r="8" spans="1:6" ht="15.75" x14ac:dyDescent="0.25">
      <c r="A8" s="67" t="s">
        <v>16</v>
      </c>
      <c r="B8" s="36" t="s">
        <v>17</v>
      </c>
      <c r="C8" s="67" t="s">
        <v>57</v>
      </c>
      <c r="D8" s="67" t="s">
        <v>10</v>
      </c>
      <c r="E8" s="33" t="s">
        <v>76</v>
      </c>
      <c r="F8" s="67" t="s">
        <v>18</v>
      </c>
    </row>
    <row r="9" spans="1:6" ht="30" x14ac:dyDescent="0.25">
      <c r="A9" s="68"/>
      <c r="B9" s="6"/>
      <c r="C9" s="68"/>
      <c r="D9" s="68"/>
      <c r="E9" s="13" t="s">
        <v>75</v>
      </c>
      <c r="F9" s="68"/>
    </row>
    <row r="10" spans="1:6" ht="15.75" x14ac:dyDescent="0.25">
      <c r="A10" s="68"/>
      <c r="B10" s="36" t="s">
        <v>19</v>
      </c>
      <c r="C10" s="68"/>
      <c r="D10" s="68"/>
      <c r="E10" s="34"/>
      <c r="F10" s="68"/>
    </row>
    <row r="11" spans="1:6" ht="15.75" x14ac:dyDescent="0.25">
      <c r="A11" s="68"/>
      <c r="B11" s="6"/>
      <c r="C11" s="68"/>
      <c r="D11" s="68"/>
      <c r="E11" s="34"/>
      <c r="F11" s="68"/>
    </row>
    <row r="12" spans="1:6" ht="16.5" thickBot="1" x14ac:dyDescent="0.3">
      <c r="A12" s="69"/>
      <c r="B12" s="37" t="s">
        <v>20</v>
      </c>
      <c r="C12" s="69"/>
      <c r="D12" s="69"/>
      <c r="E12" s="35"/>
      <c r="F12" s="69"/>
    </row>
    <row r="13" spans="1:6" ht="15.75" x14ac:dyDescent="0.25">
      <c r="A13" s="67" t="s">
        <v>202</v>
      </c>
      <c r="B13" s="36" t="s">
        <v>203</v>
      </c>
      <c r="C13" s="36" t="s">
        <v>161</v>
      </c>
      <c r="D13" s="67" t="s">
        <v>10</v>
      </c>
      <c r="E13" s="33" t="s">
        <v>204</v>
      </c>
      <c r="F13" s="67" t="s">
        <v>205</v>
      </c>
    </row>
    <row r="14" spans="1:6" ht="15.75" x14ac:dyDescent="0.25">
      <c r="A14" s="68"/>
      <c r="B14" s="6"/>
      <c r="C14" s="11"/>
      <c r="D14" s="68"/>
      <c r="E14" s="34" t="s">
        <v>206</v>
      </c>
      <c r="F14" s="68"/>
    </row>
    <row r="15" spans="1:6" ht="16.5" thickBot="1" x14ac:dyDescent="0.3">
      <c r="A15" s="69"/>
      <c r="B15" s="37" t="s">
        <v>59</v>
      </c>
      <c r="C15" s="37" t="s">
        <v>59</v>
      </c>
      <c r="D15" s="69"/>
      <c r="E15" s="35"/>
      <c r="F15" s="69"/>
    </row>
    <row r="16" spans="1:6" ht="15.75" x14ac:dyDescent="0.25">
      <c r="A16" s="67" t="s">
        <v>207</v>
      </c>
      <c r="B16" s="40" t="s">
        <v>9</v>
      </c>
      <c r="C16" s="36" t="s">
        <v>161</v>
      </c>
      <c r="D16" s="67" t="s">
        <v>10</v>
      </c>
      <c r="E16" s="33" t="s">
        <v>77</v>
      </c>
      <c r="F16" s="67" t="s">
        <v>59</v>
      </c>
    </row>
    <row r="17" spans="1:6" ht="30" x14ac:dyDescent="0.25">
      <c r="A17" s="68"/>
      <c r="B17" s="41"/>
      <c r="C17" s="11"/>
      <c r="D17" s="68"/>
      <c r="E17" s="13" t="s">
        <v>208</v>
      </c>
      <c r="F17" s="68"/>
    </row>
    <row r="18" spans="1:6" ht="16.5" thickBot="1" x14ac:dyDescent="0.3">
      <c r="A18" s="69"/>
      <c r="B18" s="42" t="s">
        <v>68</v>
      </c>
      <c r="C18" s="37" t="s">
        <v>59</v>
      </c>
      <c r="D18" s="69"/>
      <c r="E18" s="35" t="s">
        <v>209</v>
      </c>
      <c r="F18" s="69"/>
    </row>
    <row r="19" spans="1:6" ht="15.75" x14ac:dyDescent="0.25">
      <c r="A19" s="67" t="s">
        <v>21</v>
      </c>
      <c r="B19" s="36" t="s">
        <v>22</v>
      </c>
      <c r="C19" s="36" t="s">
        <v>23</v>
      </c>
      <c r="D19" s="67" t="s">
        <v>10</v>
      </c>
      <c r="E19" s="33"/>
      <c r="F19" s="67" t="s">
        <v>24</v>
      </c>
    </row>
    <row r="20" spans="1:6" ht="15.75" x14ac:dyDescent="0.25">
      <c r="A20" s="68"/>
      <c r="B20" s="6"/>
      <c r="C20" s="11"/>
      <c r="D20" s="68"/>
      <c r="E20" s="34" t="s">
        <v>67</v>
      </c>
      <c r="F20" s="68"/>
    </row>
    <row r="21" spans="1:6" ht="16.5" thickBot="1" x14ac:dyDescent="0.3">
      <c r="A21" s="69"/>
      <c r="B21" s="37" t="s">
        <v>25</v>
      </c>
      <c r="C21" s="37" t="s">
        <v>26</v>
      </c>
      <c r="D21" s="69"/>
      <c r="E21" s="35"/>
      <c r="F21" s="69"/>
    </row>
    <row r="22" spans="1:6" ht="15.75" x14ac:dyDescent="0.25">
      <c r="A22" s="67" t="s">
        <v>27</v>
      </c>
      <c r="B22" s="36" t="s">
        <v>22</v>
      </c>
      <c r="C22" s="36" t="s">
        <v>23</v>
      </c>
      <c r="D22" s="67" t="s">
        <v>10</v>
      </c>
      <c r="E22" s="33" t="s">
        <v>77</v>
      </c>
      <c r="F22" s="67" t="s">
        <v>28</v>
      </c>
    </row>
    <row r="23" spans="1:6" ht="30" x14ac:dyDescent="0.25">
      <c r="A23" s="68"/>
      <c r="B23" s="6"/>
      <c r="C23" s="6"/>
      <c r="D23" s="68"/>
      <c r="E23" s="13" t="s">
        <v>75</v>
      </c>
      <c r="F23" s="68"/>
    </row>
    <row r="24" spans="1:6" ht="16.5" thickBot="1" x14ac:dyDescent="0.3">
      <c r="A24" s="69"/>
      <c r="B24" s="37" t="s">
        <v>29</v>
      </c>
      <c r="C24" s="37" t="s">
        <v>30</v>
      </c>
      <c r="D24" s="69"/>
      <c r="E24" s="35"/>
      <c r="F24" s="69"/>
    </row>
    <row r="25" spans="1:6" ht="15.75" x14ac:dyDescent="0.25">
      <c r="A25" s="67" t="s">
        <v>31</v>
      </c>
      <c r="B25" s="36" t="s">
        <v>32</v>
      </c>
      <c r="C25" s="36" t="s">
        <v>23</v>
      </c>
      <c r="D25" s="70" t="s">
        <v>10</v>
      </c>
      <c r="E25" s="15"/>
      <c r="F25" s="73" t="s">
        <v>59</v>
      </c>
    </row>
    <row r="26" spans="1:6" ht="15.75" x14ac:dyDescent="0.25">
      <c r="A26" s="68"/>
      <c r="B26" s="6"/>
      <c r="C26" s="6"/>
      <c r="D26" s="71"/>
      <c r="E26" s="39" t="s">
        <v>77</v>
      </c>
      <c r="F26" s="74"/>
    </row>
    <row r="27" spans="1:6" ht="15.75" x14ac:dyDescent="0.25">
      <c r="A27" s="68"/>
      <c r="B27" s="36">
        <v>1</v>
      </c>
      <c r="C27" s="36" t="s">
        <v>33</v>
      </c>
      <c r="D27" s="71"/>
      <c r="E27" s="39" t="s">
        <v>197</v>
      </c>
      <c r="F27" s="74"/>
    </row>
    <row r="28" spans="1:6" ht="15.75" x14ac:dyDescent="0.25">
      <c r="A28" s="68"/>
      <c r="B28" s="6"/>
      <c r="C28" s="6" t="s">
        <v>59</v>
      </c>
      <c r="D28" s="71"/>
      <c r="E28" s="39"/>
      <c r="F28" s="74"/>
    </row>
    <row r="29" spans="1:6" ht="16.5" thickBot="1" x14ac:dyDescent="0.3">
      <c r="A29" s="69"/>
      <c r="B29" s="7"/>
      <c r="C29" s="37" t="s">
        <v>34</v>
      </c>
      <c r="D29" s="72"/>
      <c r="E29" s="16"/>
      <c r="F29" s="75"/>
    </row>
    <row r="30" spans="1:6" ht="32.25" thickBot="1" x14ac:dyDescent="0.3">
      <c r="A30" s="67" t="s">
        <v>79</v>
      </c>
      <c r="B30" s="36" t="s">
        <v>73</v>
      </c>
      <c r="C30" s="67" t="s">
        <v>161</v>
      </c>
      <c r="D30" s="67" t="s">
        <v>10</v>
      </c>
      <c r="E30" t="s">
        <v>76</v>
      </c>
      <c r="F30" s="67" t="s">
        <v>92</v>
      </c>
    </row>
    <row r="31" spans="1:6" ht="75" x14ac:dyDescent="0.25">
      <c r="A31" s="68"/>
      <c r="B31" s="13" t="s">
        <v>74</v>
      </c>
      <c r="C31" s="68"/>
      <c r="D31" s="68"/>
      <c r="E31" s="33" t="s">
        <v>75</v>
      </c>
      <c r="F31" s="68"/>
    </row>
    <row r="32" spans="1:6" ht="60.75" thickBot="1" x14ac:dyDescent="0.3">
      <c r="A32" s="69"/>
      <c r="B32" s="13" t="s">
        <v>78</v>
      </c>
      <c r="C32" s="69"/>
      <c r="D32" s="69"/>
      <c r="E32" s="35"/>
      <c r="F32" s="69"/>
    </row>
    <row r="33" spans="1:6" ht="15.75" x14ac:dyDescent="0.25">
      <c r="A33" s="70" t="s">
        <v>80</v>
      </c>
      <c r="B33" s="40" t="s">
        <v>9</v>
      </c>
      <c r="C33" s="73" t="s">
        <v>161</v>
      </c>
      <c r="D33" s="67" t="s">
        <v>10</v>
      </c>
      <c r="E33" s="33"/>
      <c r="F33" s="67" t="s">
        <v>70</v>
      </c>
    </row>
    <row r="34" spans="1:6" ht="15.75" x14ac:dyDescent="0.25">
      <c r="A34" s="71"/>
      <c r="B34" t="s">
        <v>72</v>
      </c>
      <c r="C34" s="74"/>
      <c r="D34" s="68"/>
      <c r="E34" s="34" t="s">
        <v>67</v>
      </c>
      <c r="F34" s="68"/>
    </row>
    <row r="35" spans="1:6" ht="15.75" x14ac:dyDescent="0.25">
      <c r="A35" s="71"/>
      <c r="B35" s="43" t="s">
        <v>68</v>
      </c>
      <c r="C35" s="74"/>
      <c r="D35" s="68"/>
      <c r="E35" s="34"/>
      <c r="F35" s="68"/>
    </row>
    <row r="36" spans="1:6" ht="16.5" thickBot="1" x14ac:dyDescent="0.3">
      <c r="A36" s="71"/>
      <c r="B36" s="41" t="s">
        <v>196</v>
      </c>
      <c r="C36" s="74"/>
      <c r="D36" s="68"/>
      <c r="E36" s="35"/>
      <c r="F36" s="68"/>
    </row>
    <row r="37" spans="1:6" ht="16.5" thickBot="1" x14ac:dyDescent="0.3">
      <c r="A37" s="72"/>
      <c r="B37" s="44" t="s">
        <v>210</v>
      </c>
      <c r="C37" s="75"/>
      <c r="D37" s="69"/>
      <c r="E37" s="35"/>
      <c r="F37" s="69"/>
    </row>
    <row r="38" spans="1:6" ht="15.75" x14ac:dyDescent="0.25">
      <c r="A38" s="70" t="s">
        <v>71</v>
      </c>
      <c r="B38" s="40" t="s">
        <v>9</v>
      </c>
      <c r="C38" s="73" t="s">
        <v>69</v>
      </c>
      <c r="D38" s="67" t="s">
        <v>10</v>
      </c>
      <c r="E38" s="34" t="s">
        <v>162</v>
      </c>
      <c r="F38" s="76" t="s">
        <v>163</v>
      </c>
    </row>
    <row r="39" spans="1:6" ht="16.5" thickBot="1" x14ac:dyDescent="0.3">
      <c r="A39" s="71"/>
      <c r="B39" s="41"/>
      <c r="C39" s="74"/>
      <c r="D39" s="68"/>
      <c r="E39" s="37" t="s">
        <v>161</v>
      </c>
      <c r="F39" s="77"/>
    </row>
    <row r="40" spans="1:6" ht="16.5" thickBot="1" x14ac:dyDescent="0.3">
      <c r="A40" s="72"/>
      <c r="B40" s="42" t="s">
        <v>68</v>
      </c>
      <c r="C40" s="75"/>
      <c r="D40" s="69"/>
      <c r="E40" s="35"/>
      <c r="F40" s="78"/>
    </row>
    <row r="41" spans="1:6" ht="15.75" x14ac:dyDescent="0.25">
      <c r="A41" s="70" t="s">
        <v>35</v>
      </c>
      <c r="B41" s="40" t="s">
        <v>62</v>
      </c>
      <c r="C41" s="73" t="s">
        <v>61</v>
      </c>
      <c r="D41" s="67" t="s">
        <v>10</v>
      </c>
      <c r="E41" s="33"/>
      <c r="F41" s="67" t="s">
        <v>91</v>
      </c>
    </row>
    <row r="42" spans="1:6" ht="15.75" x14ac:dyDescent="0.25">
      <c r="A42" s="71"/>
      <c r="B42" s="45"/>
      <c r="C42" s="74"/>
      <c r="D42" s="68"/>
      <c r="E42" s="34" t="s">
        <v>67</v>
      </c>
      <c r="F42" s="68"/>
    </row>
    <row r="43" spans="1:6" ht="16.5" thickBot="1" x14ac:dyDescent="0.3">
      <c r="A43" s="72"/>
      <c r="B43" s="42"/>
      <c r="C43" s="75"/>
      <c r="D43" s="69"/>
      <c r="E43" s="35"/>
      <c r="F43" s="69"/>
    </row>
    <row r="44" spans="1:6" ht="15.75" x14ac:dyDescent="0.25">
      <c r="A44" s="67" t="s">
        <v>35</v>
      </c>
      <c r="B44" s="68" t="s">
        <v>36</v>
      </c>
      <c r="C44" s="36" t="s">
        <v>23</v>
      </c>
      <c r="D44" s="67" t="s">
        <v>10</v>
      </c>
      <c r="E44" s="33"/>
      <c r="F44" s="67" t="s">
        <v>37</v>
      </c>
    </row>
    <row r="45" spans="1:6" ht="15.75" x14ac:dyDescent="0.25">
      <c r="A45" s="68"/>
      <c r="B45" s="68"/>
      <c r="C45" s="6"/>
      <c r="D45" s="68"/>
      <c r="E45" s="34" t="s">
        <v>67</v>
      </c>
      <c r="F45" s="68"/>
    </row>
    <row r="46" spans="1:6" ht="16.5" thickBot="1" x14ac:dyDescent="0.3">
      <c r="A46" s="69"/>
      <c r="B46" s="69"/>
      <c r="C46" s="37" t="s">
        <v>38</v>
      </c>
      <c r="D46" s="69"/>
      <c r="E46" s="35"/>
      <c r="F46" s="69"/>
    </row>
    <row r="47" spans="1:6" ht="15.75" x14ac:dyDescent="0.25">
      <c r="A47" s="67" t="s">
        <v>35</v>
      </c>
      <c r="B47" s="67" t="s">
        <v>39</v>
      </c>
      <c r="C47" s="36" t="s">
        <v>23</v>
      </c>
      <c r="D47" s="67" t="s">
        <v>10</v>
      </c>
      <c r="E47" s="33"/>
      <c r="F47" s="67" t="s">
        <v>37</v>
      </c>
    </row>
    <row r="48" spans="1:6" ht="15.75" x14ac:dyDescent="0.25">
      <c r="A48" s="68"/>
      <c r="B48" s="68"/>
      <c r="C48" s="6"/>
      <c r="D48" s="68"/>
      <c r="E48" s="34" t="s">
        <v>67</v>
      </c>
      <c r="F48" s="68"/>
    </row>
    <row r="49" spans="1:6" ht="16.5" thickBot="1" x14ac:dyDescent="0.3">
      <c r="A49" s="69"/>
      <c r="B49" s="69"/>
      <c r="C49" s="37" t="s">
        <v>40</v>
      </c>
      <c r="D49" s="69"/>
      <c r="E49" s="35"/>
      <c r="F49" s="69"/>
    </row>
    <row r="50" spans="1:6" ht="15.75" x14ac:dyDescent="0.25">
      <c r="A50" s="67" t="s">
        <v>35</v>
      </c>
      <c r="B50" s="67" t="s">
        <v>41</v>
      </c>
      <c r="C50" s="36" t="s">
        <v>23</v>
      </c>
      <c r="D50" s="67" t="s">
        <v>10</v>
      </c>
      <c r="E50" s="33"/>
      <c r="F50" s="67" t="s">
        <v>83</v>
      </c>
    </row>
    <row r="51" spans="1:6" ht="15.75" x14ac:dyDescent="0.25">
      <c r="A51" s="68"/>
      <c r="B51" s="68"/>
      <c r="C51" s="6"/>
      <c r="D51" s="68"/>
      <c r="E51" s="34" t="s">
        <v>67</v>
      </c>
      <c r="F51" s="68"/>
    </row>
    <row r="52" spans="1:6" ht="16.5" thickBot="1" x14ac:dyDescent="0.3">
      <c r="A52" s="69"/>
      <c r="B52" s="69"/>
      <c r="C52" s="37">
        <v>1</v>
      </c>
      <c r="D52" s="69"/>
      <c r="E52" s="35"/>
      <c r="F52" s="69"/>
    </row>
    <row r="53" spans="1:6" ht="15.75" x14ac:dyDescent="0.25">
      <c r="A53" s="67" t="s">
        <v>35</v>
      </c>
      <c r="B53" s="67" t="s">
        <v>42</v>
      </c>
      <c r="C53" s="36" t="s">
        <v>23</v>
      </c>
      <c r="D53" s="67" t="s">
        <v>10</v>
      </c>
      <c r="E53" s="34" t="s">
        <v>67</v>
      </c>
      <c r="F53" s="67" t="s">
        <v>43</v>
      </c>
    </row>
    <row r="54" spans="1:6" ht="15.75" x14ac:dyDescent="0.25">
      <c r="A54" s="68"/>
      <c r="B54" s="68"/>
      <c r="C54" s="6"/>
      <c r="D54" s="68"/>
      <c r="E54" s="34"/>
      <c r="F54" s="68"/>
    </row>
    <row r="55" spans="1:6" ht="16.5" thickBot="1" x14ac:dyDescent="0.3">
      <c r="A55" s="69"/>
      <c r="B55" s="69"/>
      <c r="C55" s="37" t="s">
        <v>44</v>
      </c>
      <c r="D55" s="69"/>
      <c r="E55" s="35"/>
      <c r="F55" s="69"/>
    </row>
    <row r="56" spans="1:6" ht="15.75" x14ac:dyDescent="0.25">
      <c r="A56" s="67" t="s">
        <v>35</v>
      </c>
      <c r="B56" s="67" t="s">
        <v>45</v>
      </c>
      <c r="C56" s="36" t="s">
        <v>23</v>
      </c>
      <c r="D56" s="67" t="s">
        <v>10</v>
      </c>
      <c r="E56" s="33"/>
      <c r="F56" s="67" t="s">
        <v>56</v>
      </c>
    </row>
    <row r="57" spans="1:6" ht="15.75" x14ac:dyDescent="0.25">
      <c r="A57" s="68"/>
      <c r="B57" s="68"/>
      <c r="C57" s="6"/>
      <c r="D57" s="68"/>
      <c r="E57" s="34" t="s">
        <v>67</v>
      </c>
      <c r="F57" s="68"/>
    </row>
    <row r="58" spans="1:6" ht="16.5" thickBot="1" x14ac:dyDescent="0.3">
      <c r="A58" s="69"/>
      <c r="B58" s="69"/>
      <c r="C58" s="37">
        <v>3</v>
      </c>
      <c r="D58" s="69"/>
      <c r="E58" s="35"/>
      <c r="F58" s="69"/>
    </row>
    <row r="59" spans="1:6" ht="15.75" x14ac:dyDescent="0.25">
      <c r="A59" s="67" t="s">
        <v>35</v>
      </c>
      <c r="B59" s="67" t="s">
        <v>81</v>
      </c>
      <c r="C59" s="36" t="s">
        <v>23</v>
      </c>
      <c r="D59" s="67" t="s">
        <v>10</v>
      </c>
      <c r="E59" s="33"/>
      <c r="F59" s="67" t="s">
        <v>82</v>
      </c>
    </row>
    <row r="60" spans="1:6" ht="15.75" x14ac:dyDescent="0.25">
      <c r="A60" s="68"/>
      <c r="B60" s="68"/>
      <c r="C60" s="6"/>
      <c r="D60" s="68"/>
      <c r="E60" s="34" t="s">
        <v>67</v>
      </c>
      <c r="F60" s="68"/>
    </row>
    <row r="61" spans="1:6" ht="16.5" thickBot="1" x14ac:dyDescent="0.3">
      <c r="A61" s="69"/>
      <c r="B61" s="69"/>
      <c r="C61" s="37">
        <v>3</v>
      </c>
      <c r="D61" s="69"/>
      <c r="E61" s="35"/>
      <c r="F61" s="69"/>
    </row>
    <row r="62" spans="1:6" ht="32.25" thickBot="1" x14ac:dyDescent="0.3">
      <c r="A62" s="35" t="s">
        <v>35</v>
      </c>
      <c r="B62" s="37" t="s">
        <v>46</v>
      </c>
      <c r="C62" s="37" t="s">
        <v>161</v>
      </c>
      <c r="D62" s="37" t="s">
        <v>10</v>
      </c>
      <c r="E62" s="34" t="s">
        <v>67</v>
      </c>
      <c r="F62" s="37" t="s">
        <v>47</v>
      </c>
    </row>
    <row r="63" spans="1:6" ht="32.25" thickBot="1" x14ac:dyDescent="0.3">
      <c r="A63" s="35" t="s">
        <v>35</v>
      </c>
      <c r="B63" s="37" t="s">
        <v>64</v>
      </c>
      <c r="C63" s="37" t="s">
        <v>161</v>
      </c>
      <c r="D63" s="37" t="s">
        <v>10</v>
      </c>
      <c r="E63" s="34" t="s">
        <v>67</v>
      </c>
      <c r="F63" s="37" t="s">
        <v>65</v>
      </c>
    </row>
    <row r="64" spans="1:6" ht="32.25" thickBot="1" x14ac:dyDescent="0.3">
      <c r="A64" s="35" t="s">
        <v>48</v>
      </c>
      <c r="B64" s="37"/>
      <c r="C64" s="37"/>
      <c r="D64" s="37"/>
      <c r="E64" s="37"/>
      <c r="F64" s="37" t="s">
        <v>49</v>
      </c>
    </row>
    <row r="65" spans="1:6" ht="32.25" thickBot="1" x14ac:dyDescent="0.3">
      <c r="A65" s="35" t="s">
        <v>50</v>
      </c>
      <c r="B65" s="37" t="s">
        <v>59</v>
      </c>
      <c r="C65" s="37"/>
      <c r="D65" s="37" t="s">
        <v>10</v>
      </c>
      <c r="E65" s="37"/>
      <c r="F65" s="37" t="s">
        <v>51</v>
      </c>
    </row>
    <row r="66" spans="1:6" ht="15.75" x14ac:dyDescent="0.25">
      <c r="B66" s="4" t="s">
        <v>84</v>
      </c>
    </row>
  </sheetData>
  <mergeCells count="63">
    <mergeCell ref="C41:C43"/>
    <mergeCell ref="F50:F52"/>
    <mergeCell ref="A44:A46"/>
    <mergeCell ref="B44:B46"/>
    <mergeCell ref="D44:D46"/>
    <mergeCell ref="F44:F46"/>
    <mergeCell ref="A47:A49"/>
    <mergeCell ref="B47:B49"/>
    <mergeCell ref="D47:D49"/>
    <mergeCell ref="F47:F49"/>
    <mergeCell ref="A50:A52"/>
    <mergeCell ref="B50:B52"/>
    <mergeCell ref="D50:D52"/>
    <mergeCell ref="F38:F40"/>
    <mergeCell ref="A33:A37"/>
    <mergeCell ref="C33:C37"/>
    <mergeCell ref="D33:D37"/>
    <mergeCell ref="F33:F37"/>
    <mergeCell ref="C38:C40"/>
    <mergeCell ref="A2:A7"/>
    <mergeCell ref="C2:C7"/>
    <mergeCell ref="D2:D7"/>
    <mergeCell ref="F2:F7"/>
    <mergeCell ref="A8:A12"/>
    <mergeCell ref="C8:C12"/>
    <mergeCell ref="D8:D12"/>
    <mergeCell ref="F8:F12"/>
    <mergeCell ref="A19:A21"/>
    <mergeCell ref="D19:D21"/>
    <mergeCell ref="F19:F21"/>
    <mergeCell ref="A22:A24"/>
    <mergeCell ref="D22:D24"/>
    <mergeCell ref="F22:F24"/>
    <mergeCell ref="A13:A15"/>
    <mergeCell ref="D13:D15"/>
    <mergeCell ref="F13:F15"/>
    <mergeCell ref="A16:A18"/>
    <mergeCell ref="D16:D18"/>
    <mergeCell ref="F16:F18"/>
    <mergeCell ref="A53:A55"/>
    <mergeCell ref="B53:B55"/>
    <mergeCell ref="D53:D55"/>
    <mergeCell ref="D25:D29"/>
    <mergeCell ref="F25:F29"/>
    <mergeCell ref="A30:A32"/>
    <mergeCell ref="C30:C32"/>
    <mergeCell ref="D30:D32"/>
    <mergeCell ref="F30:F32"/>
    <mergeCell ref="F53:F55"/>
    <mergeCell ref="A25:A29"/>
    <mergeCell ref="A41:A43"/>
    <mergeCell ref="D41:D43"/>
    <mergeCell ref="F41:F43"/>
    <mergeCell ref="A38:A40"/>
    <mergeCell ref="D38:D40"/>
    <mergeCell ref="F56:F58"/>
    <mergeCell ref="A59:A61"/>
    <mergeCell ref="B59:B61"/>
    <mergeCell ref="D59:D61"/>
    <mergeCell ref="F59:F61"/>
    <mergeCell ref="A56:A58"/>
    <mergeCell ref="B56:B58"/>
    <mergeCell ref="D56:D58"/>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5F8F5-30C7-45DE-915D-8210281CD9D4}">
  <dimension ref="C5:H32"/>
  <sheetViews>
    <sheetView topLeftCell="A3" workbookViewId="0">
      <selection activeCell="K34" sqref="K34"/>
    </sheetView>
  </sheetViews>
  <sheetFormatPr defaultRowHeight="15" x14ac:dyDescent="0.25"/>
  <cols>
    <col min="4" max="4" width="18.140625" bestFit="1" customWidth="1"/>
    <col min="8" max="8" width="68.5703125" bestFit="1" customWidth="1"/>
  </cols>
  <sheetData>
    <row r="5" spans="3:8" x14ac:dyDescent="0.25">
      <c r="C5" s="8">
        <v>0</v>
      </c>
      <c r="D5" s="8" t="s">
        <v>101</v>
      </c>
      <c r="E5" s="8">
        <f xml:space="preserve"> 1</f>
        <v>1</v>
      </c>
      <c r="F5" s="8">
        <v>1</v>
      </c>
      <c r="G5" s="8">
        <v>0</v>
      </c>
      <c r="H5" s="8" t="s">
        <v>104</v>
      </c>
    </row>
    <row r="6" spans="3:8" x14ac:dyDescent="0.25">
      <c r="C6" s="8">
        <v>1</v>
      </c>
      <c r="D6" s="8" t="s">
        <v>85</v>
      </c>
      <c r="E6" s="8">
        <f xml:space="preserve"> 126</f>
        <v>126</v>
      </c>
      <c r="F6" s="8">
        <v>126</v>
      </c>
      <c r="G6" s="8">
        <v>0</v>
      </c>
      <c r="H6" s="8" t="s">
        <v>105</v>
      </c>
    </row>
    <row r="7" spans="3:8" x14ac:dyDescent="0.25">
      <c r="C7" s="8">
        <v>2</v>
      </c>
      <c r="D7" s="8" t="s">
        <v>86</v>
      </c>
      <c r="E7" s="8">
        <f xml:space="preserve"> 37</f>
        <v>37</v>
      </c>
      <c r="F7" s="8">
        <v>37</v>
      </c>
      <c r="G7" s="8">
        <v>0</v>
      </c>
      <c r="H7" s="8" t="s">
        <v>106</v>
      </c>
    </row>
    <row r="8" spans="3:8" x14ac:dyDescent="0.25">
      <c r="C8" s="8">
        <v>3</v>
      </c>
      <c r="D8" s="8" t="s">
        <v>88</v>
      </c>
      <c r="E8" s="8">
        <f xml:space="preserve"> 9</f>
        <v>9</v>
      </c>
      <c r="F8" s="8">
        <v>9</v>
      </c>
      <c r="G8" s="8">
        <v>0</v>
      </c>
      <c r="H8" s="8" t="s">
        <v>107</v>
      </c>
    </row>
    <row r="9" spans="3:8" x14ac:dyDescent="0.25">
      <c r="C9" s="8">
        <v>4</v>
      </c>
      <c r="D9" s="8" t="s">
        <v>87</v>
      </c>
      <c r="E9" s="8">
        <f xml:space="preserve"> 38</f>
        <v>38</v>
      </c>
      <c r="F9" s="8">
        <v>38</v>
      </c>
      <c r="G9" s="8">
        <v>0</v>
      </c>
      <c r="H9" s="8" t="s">
        <v>108</v>
      </c>
    </row>
    <row r="10" spans="3:8" x14ac:dyDescent="0.25">
      <c r="C10" s="8">
        <v>5</v>
      </c>
      <c r="D10" s="8" t="s">
        <v>94</v>
      </c>
      <c r="E10" s="8">
        <f xml:space="preserve"> 3</f>
        <v>3</v>
      </c>
      <c r="F10" s="8">
        <v>3</v>
      </c>
      <c r="G10" s="8">
        <v>0</v>
      </c>
      <c r="H10" s="8" t="s">
        <v>109</v>
      </c>
    </row>
    <row r="11" spans="3:8" x14ac:dyDescent="0.25">
      <c r="C11" s="8">
        <v>6</v>
      </c>
      <c r="D11" s="8" t="s">
        <v>102</v>
      </c>
      <c r="E11" s="8">
        <f xml:space="preserve"> 0</f>
        <v>0</v>
      </c>
      <c r="F11" s="8">
        <v>0</v>
      </c>
      <c r="G11" s="8">
        <v>0</v>
      </c>
      <c r="H11" s="8" t="s">
        <v>110</v>
      </c>
    </row>
    <row r="12" spans="3:8" x14ac:dyDescent="0.25">
      <c r="C12" s="8">
        <v>7</v>
      </c>
      <c r="D12" s="8" t="s">
        <v>111</v>
      </c>
      <c r="E12" s="8">
        <f xml:space="preserve"> 51</f>
        <v>51</v>
      </c>
      <c r="F12" s="8">
        <v>51</v>
      </c>
      <c r="G12" s="8">
        <v>0</v>
      </c>
      <c r="H12" s="8" t="s">
        <v>112</v>
      </c>
    </row>
    <row r="13" spans="3:8" x14ac:dyDescent="0.25">
      <c r="C13" s="8">
        <v>8</v>
      </c>
      <c r="D13" s="8" t="s">
        <v>113</v>
      </c>
      <c r="E13" s="8">
        <f xml:space="preserve"> 11</f>
        <v>11</v>
      </c>
      <c r="F13" s="8">
        <v>11</v>
      </c>
      <c r="G13" s="8">
        <v>0</v>
      </c>
      <c r="H13" s="8" t="s">
        <v>114</v>
      </c>
    </row>
    <row r="14" spans="3:8" x14ac:dyDescent="0.25">
      <c r="C14" s="8">
        <v>9</v>
      </c>
      <c r="D14" s="8" t="s">
        <v>95</v>
      </c>
      <c r="E14" s="8">
        <f xml:space="preserve"> 1</f>
        <v>1</v>
      </c>
      <c r="F14" s="8">
        <v>1</v>
      </c>
      <c r="G14" s="8">
        <v>0</v>
      </c>
      <c r="H14" s="8" t="s">
        <v>115</v>
      </c>
    </row>
    <row r="15" spans="3:8" x14ac:dyDescent="0.25">
      <c r="C15" s="8">
        <v>10</v>
      </c>
      <c r="D15" s="8" t="s">
        <v>116</v>
      </c>
      <c r="E15" s="8">
        <f xml:space="preserve"> 11</f>
        <v>11</v>
      </c>
      <c r="F15" s="8">
        <v>11</v>
      </c>
      <c r="G15" s="8">
        <v>0</v>
      </c>
      <c r="H15" s="8" t="s">
        <v>117</v>
      </c>
    </row>
    <row r="16" spans="3:8" x14ac:dyDescent="0.25">
      <c r="C16" s="8">
        <v>11</v>
      </c>
      <c r="D16" s="8" t="s">
        <v>118</v>
      </c>
      <c r="E16" s="8">
        <f xml:space="preserve"> 8</f>
        <v>8</v>
      </c>
      <c r="F16" s="8">
        <v>8</v>
      </c>
      <c r="G16" s="8">
        <v>0</v>
      </c>
      <c r="H16" s="8" t="s">
        <v>119</v>
      </c>
    </row>
    <row r="17" spans="3:8" x14ac:dyDescent="0.25">
      <c r="C17" s="8">
        <v>12</v>
      </c>
      <c r="D17" s="8" t="s">
        <v>120</v>
      </c>
      <c r="E17" s="8">
        <f xml:space="preserve"> 3</f>
        <v>3</v>
      </c>
      <c r="F17" s="8">
        <v>3</v>
      </c>
      <c r="G17" s="8">
        <v>0</v>
      </c>
      <c r="H17" s="8" t="s">
        <v>121</v>
      </c>
    </row>
    <row r="18" spans="3:8" x14ac:dyDescent="0.25">
      <c r="C18" s="8">
        <v>13</v>
      </c>
      <c r="D18" s="8" t="s">
        <v>122</v>
      </c>
      <c r="E18" s="8">
        <f xml:space="preserve"> 2</f>
        <v>2</v>
      </c>
      <c r="F18" s="8">
        <v>2</v>
      </c>
      <c r="G18" s="8">
        <v>0</v>
      </c>
      <c r="H18" s="8" t="s">
        <v>123</v>
      </c>
    </row>
    <row r="19" spans="3:8" x14ac:dyDescent="0.25">
      <c r="C19" s="8">
        <v>14</v>
      </c>
      <c r="D19" s="8" t="s">
        <v>98</v>
      </c>
      <c r="E19" s="8">
        <f xml:space="preserve"> 1</f>
        <v>1</v>
      </c>
      <c r="F19" s="8">
        <v>1</v>
      </c>
      <c r="G19" s="8">
        <v>0</v>
      </c>
      <c r="H19" s="8" t="s">
        <v>124</v>
      </c>
    </row>
    <row r="20" spans="3:8" x14ac:dyDescent="0.25">
      <c r="C20" s="8">
        <v>15</v>
      </c>
      <c r="D20" s="8" t="s">
        <v>103</v>
      </c>
      <c r="E20" s="8">
        <f xml:space="preserve"> 2</f>
        <v>2</v>
      </c>
      <c r="F20" s="8">
        <v>2</v>
      </c>
      <c r="G20" s="8">
        <v>0</v>
      </c>
      <c r="H20" s="8" t="s">
        <v>125</v>
      </c>
    </row>
    <row r="21" spans="3:8" x14ac:dyDescent="0.25">
      <c r="C21" s="8">
        <v>16</v>
      </c>
      <c r="D21" s="8" t="s">
        <v>126</v>
      </c>
      <c r="E21" s="8">
        <f xml:space="preserve"> 6</f>
        <v>6</v>
      </c>
      <c r="F21" s="8">
        <v>6</v>
      </c>
      <c r="G21" s="8">
        <v>0</v>
      </c>
      <c r="H21" s="8" t="s">
        <v>127</v>
      </c>
    </row>
    <row r="22" spans="3:8" x14ac:dyDescent="0.25">
      <c r="C22" s="8">
        <v>17</v>
      </c>
      <c r="D22" s="8" t="s">
        <v>128</v>
      </c>
      <c r="E22" s="8">
        <f xml:space="preserve"> 1</f>
        <v>1</v>
      </c>
      <c r="F22" s="8">
        <v>1</v>
      </c>
      <c r="G22" s="8">
        <v>0</v>
      </c>
      <c r="H22" s="8" t="s">
        <v>129</v>
      </c>
    </row>
    <row r="23" spans="3:8" x14ac:dyDescent="0.25">
      <c r="C23" s="8">
        <v>18</v>
      </c>
      <c r="D23" s="8" t="s">
        <v>130</v>
      </c>
      <c r="E23" s="8">
        <f xml:space="preserve"> 7</f>
        <v>7</v>
      </c>
      <c r="F23" s="8">
        <v>7</v>
      </c>
      <c r="G23" s="8">
        <v>0</v>
      </c>
      <c r="H23" s="8"/>
    </row>
    <row r="24" spans="3:8" x14ac:dyDescent="0.25">
      <c r="C24" s="8">
        <v>19</v>
      </c>
      <c r="D24" s="8" t="s">
        <v>131</v>
      </c>
      <c r="E24" s="8">
        <f xml:space="preserve"> 2</f>
        <v>2</v>
      </c>
      <c r="F24" s="8">
        <v>2</v>
      </c>
      <c r="G24" s="8">
        <v>0</v>
      </c>
      <c r="H24" s="8"/>
    </row>
    <row r="25" spans="3:8" x14ac:dyDescent="0.25">
      <c r="C25" s="8">
        <v>20</v>
      </c>
      <c r="D25" s="8" t="s">
        <v>132</v>
      </c>
      <c r="E25" s="8">
        <f xml:space="preserve"> 1</f>
        <v>1</v>
      </c>
      <c r="F25" s="8">
        <v>1</v>
      </c>
      <c r="G25" s="8">
        <v>0</v>
      </c>
      <c r="H25" s="8" t="s">
        <v>133</v>
      </c>
    </row>
    <row r="26" spans="3:8" x14ac:dyDescent="0.25">
      <c r="C26" s="8">
        <v>21</v>
      </c>
      <c r="D26" s="8" t="s">
        <v>134</v>
      </c>
      <c r="E26" s="8">
        <f xml:space="preserve"> 7</f>
        <v>7</v>
      </c>
      <c r="F26" s="8">
        <v>7</v>
      </c>
      <c r="G26" s="8">
        <v>0</v>
      </c>
      <c r="H26" s="8"/>
    </row>
    <row r="27" spans="3:8" x14ac:dyDescent="0.25">
      <c r="C27" s="8">
        <v>22</v>
      </c>
      <c r="D27" s="8" t="s">
        <v>142</v>
      </c>
      <c r="E27" s="8">
        <f xml:space="preserve"> 2</f>
        <v>2</v>
      </c>
      <c r="F27" s="8">
        <v>2</v>
      </c>
      <c r="G27" s="8">
        <v>0</v>
      </c>
      <c r="H27" s="8" t="s">
        <v>144</v>
      </c>
    </row>
    <row r="28" spans="3:8" x14ac:dyDescent="0.25">
      <c r="C28" s="8">
        <v>23</v>
      </c>
      <c r="D28" s="8" t="s">
        <v>143</v>
      </c>
      <c r="E28" s="8">
        <f xml:space="preserve"> 1</f>
        <v>1</v>
      </c>
      <c r="F28" s="8">
        <v>1</v>
      </c>
      <c r="G28" s="8">
        <v>0</v>
      </c>
      <c r="H28" s="8" t="s">
        <v>145</v>
      </c>
    </row>
    <row r="29" spans="3:8" x14ac:dyDescent="0.25">
      <c r="C29" s="8">
        <v>24</v>
      </c>
      <c r="D29" s="8" t="s">
        <v>135</v>
      </c>
      <c r="E29" s="8">
        <f xml:space="preserve"> 497</f>
        <v>497</v>
      </c>
      <c r="F29" s="8">
        <v>497</v>
      </c>
      <c r="G29" s="8">
        <v>0</v>
      </c>
      <c r="H29" s="8"/>
    </row>
    <row r="30" spans="3:8" x14ac:dyDescent="0.25">
      <c r="C30" s="8">
        <v>25</v>
      </c>
      <c r="D30" s="8" t="s">
        <v>136</v>
      </c>
      <c r="E30" s="8">
        <f xml:space="preserve"> 13</f>
        <v>13</v>
      </c>
      <c r="F30" s="8">
        <v>13</v>
      </c>
      <c r="G30" s="8">
        <v>0</v>
      </c>
      <c r="H30" s="8" t="s">
        <v>137</v>
      </c>
    </row>
    <row r="31" spans="3:8" x14ac:dyDescent="0.25">
      <c r="C31" s="8">
        <v>26</v>
      </c>
      <c r="D31" t="s">
        <v>138</v>
      </c>
      <c r="E31">
        <f xml:space="preserve"> 0</f>
        <v>0</v>
      </c>
      <c r="F31">
        <v>0</v>
      </c>
      <c r="G31">
        <v>0</v>
      </c>
      <c r="H31" t="s">
        <v>139</v>
      </c>
    </row>
    <row r="32" spans="3:8" x14ac:dyDescent="0.25">
      <c r="C32" s="8">
        <v>27</v>
      </c>
      <c r="D32" t="s">
        <v>140</v>
      </c>
      <c r="E32">
        <f xml:space="preserve"> 0</f>
        <v>0</v>
      </c>
      <c r="F32">
        <v>0</v>
      </c>
      <c r="G32">
        <v>0</v>
      </c>
      <c r="H32" t="s">
        <v>141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Model Data</vt:lpstr>
      <vt:lpstr>ToSolidworks</vt:lpstr>
      <vt:lpstr>ToSolidworksInstruction</vt:lpstr>
      <vt:lpstr>Sheet1</vt:lpstr>
      <vt:lpstr>'Model Data'!Print_Area</vt:lpstr>
      <vt:lpstr>ToSolidworks!Print_Area</vt:lpstr>
      <vt:lpstr>ToSolidworksInstruction!Print_Area</vt:lpstr>
    </vt:vector>
  </TitlesOfParts>
  <Company>Halton Oy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Luo</dc:creator>
  <cp:lastModifiedBy>Justin Luo</cp:lastModifiedBy>
  <cp:lastPrinted>2025-08-28T18:24:01Z</cp:lastPrinted>
  <dcterms:created xsi:type="dcterms:W3CDTF">2015-05-27T06:08:30Z</dcterms:created>
  <dcterms:modified xsi:type="dcterms:W3CDTF">2025-08-29T18:08:31Z</dcterms:modified>
</cp:coreProperties>
</file>